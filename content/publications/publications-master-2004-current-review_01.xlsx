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sheetId="1" state="visible" r:id="rId1"/>
    <sheet xmlns:r="http://schemas.openxmlformats.org/officeDocument/2006/relationships" name="Scopus review" sheetId="2" state="visible" r:id="rId2"/>
    <sheet xmlns:r="http://schemas.openxmlformats.org/officeDocument/2006/relationships" name="Faculty coverage" sheetId="3" state="visible" r:id="rId3"/>
  </sheets>
  <definedNames>
    <definedName name="_xlnm._FilterDatabase" localSheetId="0" hidden="1">'Master'!$A$1:$AC$169</definedName>
    <definedName name="_xlnm._FilterDatabase" localSheetId="1" hidden="1">'Scopus review'!$A$1:$S$27</definedName>
    <definedName name="_xlnm._FilterDatabase" localSheetId="2" hidden="1">'Faculty coverage'!$A$1:$D$8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075AA7"/>
      </patternFill>
    </fill>
    <fill>
      <patternFill patternType="solid">
        <fgColor rgb="00D9EAD3"/>
      </patternFill>
    </fill>
    <fill>
      <patternFill patternType="solid">
        <fgColor rgb="00FFF2CC"/>
      </patternFill>
    </fill>
    <fill>
      <patternFill patternType="solid">
        <fgColor rgb="00D9EAF7"/>
      </patternFill>
    </fill>
    <fill>
      <patternFill patternType="solid">
        <fgColor rgb="00FCE5CD"/>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69"/>
  <sheetViews>
    <sheetView showGridLines="0" workbookViewId="0">
      <pane ySplit="1" topLeftCell="A2" activePane="bottomLeft" state="frozen"/>
      <selection pane="bottomLeft" activeCell="A1" sqref="A1"/>
    </sheetView>
  </sheetViews>
  <sheetFormatPr baseColWidth="8" defaultRowHeight="15"/>
  <cols>
    <col width="42" customWidth="1" min="1" max="1"/>
    <col width="10" customWidth="1" min="2" max="2"/>
    <col width="12" customWidth="1" min="3" max="3"/>
    <col width="42" customWidth="1" min="4" max="4"/>
    <col width="42" customWidth="1" min="5" max="5"/>
    <col width="42" customWidth="1" min="6" max="6"/>
    <col width="19" customWidth="1" min="7" max="7"/>
    <col width="42" customWidth="1" min="8" max="8"/>
    <col width="16" customWidth="1" min="9" max="9"/>
    <col width="42" customWidth="1" min="10" max="10"/>
    <col width="17" customWidth="1" min="11" max="11"/>
    <col width="10" customWidth="1" min="12" max="12"/>
    <col width="10" customWidth="1" min="13" max="13"/>
    <col width="13" customWidth="1" min="14" max="14"/>
    <col width="42" customWidth="1" min="15" max="15"/>
    <col width="42" customWidth="1" min="16" max="16"/>
    <col width="11" customWidth="1" min="17" max="17"/>
    <col width="17" customWidth="1" min="18" max="18"/>
    <col width="42" customWidth="1" min="19" max="19"/>
    <col width="42" customWidth="1" min="20" max="20"/>
    <col width="10" customWidth="1" min="21" max="21"/>
    <col width="10" customWidth="1" min="22" max="22"/>
    <col width="12" customWidth="1" min="23" max="23"/>
    <col width="15" customWidth="1" min="24" max="24"/>
    <col width="19" customWidth="1" min="25" max="25"/>
    <col width="42" customWidth="1" min="26" max="26"/>
    <col width="21" customWidth="1" min="27" max="27"/>
    <col width="26" customWidth="1" min="28" max="28"/>
    <col width="42" customWidth="1" min="29" max="29"/>
  </cols>
  <sheetData>
    <row r="1">
      <c r="A1" s="1" t="inlineStr">
        <is>
          <t>publication_id</t>
        </is>
      </c>
      <c r="B1" s="1" t="inlineStr">
        <is>
          <t>year</t>
        </is>
      </c>
      <c r="C1" s="1" t="inlineStr">
        <is>
          <t>date</t>
        </is>
      </c>
      <c r="D1" s="1" t="inlineStr">
        <is>
          <t>title</t>
        </is>
      </c>
      <c r="E1" s="1" t="inlineStr">
        <is>
          <t>authors</t>
        </is>
      </c>
      <c r="F1" s="1" t="inlineStr">
        <is>
          <t>pang_faculty_authors</t>
        </is>
      </c>
      <c r="G1" s="1" t="inlineStr">
        <is>
          <t>document_type</t>
        </is>
      </c>
      <c r="H1" s="1" t="inlineStr">
        <is>
          <t>source_title</t>
        </is>
      </c>
      <c r="I1" s="1" t="inlineStr">
        <is>
          <t>tertiary_title</t>
        </is>
      </c>
      <c r="J1" s="1" t="inlineStr">
        <is>
          <t>publisher</t>
        </is>
      </c>
      <c r="K1" s="1" t="inlineStr">
        <is>
          <t>place_published</t>
        </is>
      </c>
      <c r="L1" s="1" t="inlineStr">
        <is>
          <t>volume</t>
        </is>
      </c>
      <c r="M1" s="1" t="inlineStr">
        <is>
          <t>issue</t>
        </is>
      </c>
      <c r="N1" s="1" t="inlineStr">
        <is>
          <t>pages</t>
        </is>
      </c>
      <c r="O1" s="1" t="inlineStr">
        <is>
          <t>doi</t>
        </is>
      </c>
      <c r="P1" s="1" t="inlineStr">
        <is>
          <t>doi_normalized</t>
        </is>
      </c>
      <c r="Q1" s="1" t="inlineStr">
        <is>
          <t>issn</t>
        </is>
      </c>
      <c r="R1" s="1" t="inlineStr">
        <is>
          <t>isbn</t>
        </is>
      </c>
      <c r="S1" s="1" t="inlineStr">
        <is>
          <t>url</t>
        </is>
      </c>
      <c r="T1" s="1" t="inlineStr">
        <is>
          <t>abstract</t>
        </is>
      </c>
      <c r="U1" s="1" t="inlineStr">
        <is>
          <t>language</t>
        </is>
      </c>
      <c r="V1" s="1" t="inlineStr">
        <is>
          <t>source</t>
        </is>
      </c>
      <c r="W1" s="1" t="inlineStr">
        <is>
          <t>legacy_nid</t>
        </is>
      </c>
      <c r="X1" s="1" t="inlineStr">
        <is>
          <t>legacy_status</t>
        </is>
      </c>
      <c r="Y1" s="1" t="inlineStr">
        <is>
          <t>include_in_master</t>
        </is>
      </c>
      <c r="Z1" s="1" t="inlineStr">
        <is>
          <t>data_quality_flags</t>
        </is>
      </c>
      <c r="AA1" s="1" t="inlineStr">
        <is>
          <t>scopus_eid</t>
        </is>
      </c>
      <c r="AB1" s="1" t="inlineStr">
        <is>
          <t>verification_status</t>
        </is>
      </c>
      <c r="AC1" s="1" t="inlineStr">
        <is>
          <t>verification_source_url</t>
        </is>
      </c>
    </row>
    <row r="2">
      <c r="A2" s="2" t="inlineStr">
        <is>
          <t>scopus-10-1109-taes-2025-3619912</t>
        </is>
      </c>
      <c r="B2" s="2" t="inlineStr">
        <is>
          <t>2026</t>
        </is>
      </c>
      <c r="C2" s="2" t="inlineStr"/>
      <c r="D2" s="2" t="inlineStr">
        <is>
          <t>A Split Pulse Fusion Method for Radar Reconnaissance</t>
        </is>
      </c>
      <c r="E2" s="2" t="inlineStr">
        <is>
          <t>Ronghua Guo; Yang-Yang Dong; Dan Bao; Chunxi Dong; Sergio Vitale; Giampaolo Ferraioli; Vito Pascazio; Wenbo Li; Zhiyuan Li</t>
        </is>
      </c>
      <c r="F2" s="2" t="inlineStr">
        <is>
          <t>Giampaolo Ferraioli</t>
        </is>
      </c>
      <c r="G2" s="2" t="inlineStr">
        <is>
          <t>Journal Article</t>
        </is>
      </c>
      <c r="H2" s="2" t="inlineStr">
        <is>
          <t>IEEE Transactions on Aerospace and Electronic Systems</t>
        </is>
      </c>
      <c r="I2" s="2" t="inlineStr"/>
      <c r="J2" s="2" t="inlineStr"/>
      <c r="K2" s="2" t="inlineStr"/>
      <c r="L2" s="2" t="inlineStr">
        <is>
          <t>62</t>
        </is>
      </c>
      <c r="M2" s="2" t="inlineStr"/>
      <c r="N2" s="2" t="inlineStr">
        <is>
          <t>217-233</t>
        </is>
      </c>
      <c r="O2" s="2" t="inlineStr">
        <is>
          <t>10.1109/TAES.2025.3619912</t>
        </is>
      </c>
      <c r="P2" s="2" t="inlineStr">
        <is>
          <t>10.1109/taes.2025.3619912</t>
        </is>
      </c>
      <c r="Q2" s="2" t="inlineStr"/>
      <c r="R2" s="2" t="inlineStr"/>
      <c r="S2" s="2" t="inlineStr">
        <is>
          <t>https://doi.org/10.1109/TAES.2025.3619912</t>
        </is>
      </c>
      <c r="T2" s="2" t="inlineStr"/>
      <c r="U2" s="2" t="inlineStr"/>
      <c r="V2" s="2" t="inlineStr">
        <is>
          <t>scopus</t>
        </is>
      </c>
      <c r="W2" s="2" t="inlineStr"/>
      <c r="X2" s="2" t="inlineStr"/>
      <c r="Y2" s="2" t="inlineStr">
        <is>
          <t>yes</t>
        </is>
      </c>
      <c r="Z2" s="2" t="inlineStr"/>
      <c r="AA2" s="2" t="inlineStr"/>
      <c r="AB2" s="2" t="inlineStr">
        <is>
          <t>verified_scopus</t>
        </is>
      </c>
      <c r="AC2" s="2" t="inlineStr">
        <is>
          <t>https://www.sciencedirect.com/author/7003486376/vito-pascazio</t>
        </is>
      </c>
    </row>
    <row r="3">
      <c r="A3" s="2" t="inlineStr">
        <is>
          <t>scopus-10-3390-automation7020036</t>
        </is>
      </c>
      <c r="B3" s="2" t="inlineStr">
        <is>
          <t>2026</t>
        </is>
      </c>
      <c r="C3" s="2" t="inlineStr">
        <is>
          <t>2026-02-25</t>
        </is>
      </c>
      <c r="D3" s="2" t="inlineStr">
        <is>
          <t>Intelligent Tomato Leaf Disease Detection and Automated Spray Prescription Using YOLOv9: A Smart Agriculture Approach</t>
        </is>
      </c>
      <c r="E3" s="2" t="inlineStr">
        <is>
          <t>Shahab Ul Islam; Giampaolo Ferraioli; Ghassan Husnain; Abdul Waheed; Vito Pascazio</t>
        </is>
      </c>
      <c r="F3" s="2" t="inlineStr">
        <is>
          <t>Giampaolo Ferraioli</t>
        </is>
      </c>
      <c r="G3" s="2" t="inlineStr">
        <is>
          <t>Journal Article</t>
        </is>
      </c>
      <c r="H3" s="2" t="inlineStr">
        <is>
          <t>Automation</t>
        </is>
      </c>
      <c r="I3" s="2" t="inlineStr"/>
      <c r="J3" s="2" t="inlineStr"/>
      <c r="K3" s="2" t="inlineStr"/>
      <c r="L3" s="2" t="inlineStr">
        <is>
          <t>7</t>
        </is>
      </c>
      <c r="M3" s="2" t="inlineStr">
        <is>
          <t>2</t>
        </is>
      </c>
      <c r="N3" s="2" t="inlineStr">
        <is>
          <t>36</t>
        </is>
      </c>
      <c r="O3" s="2" t="inlineStr">
        <is>
          <t>10.3390/automation7020036</t>
        </is>
      </c>
      <c r="P3" s="2" t="inlineStr">
        <is>
          <t>10.3390/automation7020036</t>
        </is>
      </c>
      <c r="Q3" s="2" t="inlineStr"/>
      <c r="R3" s="2" t="inlineStr"/>
      <c r="S3" s="2" t="inlineStr">
        <is>
          <t>https://doi.org/10.3390/automation7020036</t>
        </is>
      </c>
      <c r="T3" s="2" t="inlineStr"/>
      <c r="U3" s="2" t="inlineStr"/>
      <c r="V3" s="2" t="inlineStr">
        <is>
          <t>scopus</t>
        </is>
      </c>
      <c r="W3" s="2" t="inlineStr"/>
      <c r="X3" s="2" t="inlineStr"/>
      <c r="Y3" s="2" t="inlineStr">
        <is>
          <t>yes</t>
        </is>
      </c>
      <c r="Z3" s="2" t="inlineStr"/>
      <c r="AA3" s="2" t="inlineStr"/>
      <c r="AB3" s="2" t="inlineStr">
        <is>
          <t>verified_scopus</t>
        </is>
      </c>
      <c r="AC3" s="2" t="inlineStr">
        <is>
          <t>https://www.sciencedirect.com/author/7003486376/vito-pascazio</t>
        </is>
      </c>
    </row>
    <row r="4">
      <c r="A4" s="2" t="inlineStr">
        <is>
          <t>scopus-10-1016-j-oceaneng-2025-123471</t>
        </is>
      </c>
      <c r="B4" s="2" t="inlineStr">
        <is>
          <t>2026</t>
        </is>
      </c>
      <c r="C4" s="2" t="inlineStr">
        <is>
          <t>2026-01-15</t>
        </is>
      </c>
      <c r="D4" s="2" t="inlineStr">
        <is>
          <t>Sea state reconstruction based on the Spearman rank correlation using full-scale data from a containership</t>
        </is>
      </c>
      <c r="E4" s="2" t="inlineStr">
        <is>
          <t>Silvia Ascione; Ulrik D. Nielsen; Vincenzo Piscopo; Gaute Storhaug</t>
        </is>
      </c>
      <c r="F4" s="2" t="inlineStr">
        <is>
          <t>Vincenzo Piscopo</t>
        </is>
      </c>
      <c r="G4" s="2" t="inlineStr">
        <is>
          <t>Journal Article</t>
        </is>
      </c>
      <c r="H4" s="2" t="inlineStr">
        <is>
          <t>Ocean Engineering</t>
        </is>
      </c>
      <c r="I4" s="2" t="inlineStr"/>
      <c r="J4" s="2" t="inlineStr"/>
      <c r="K4" s="2" t="inlineStr"/>
      <c r="L4" s="2" t="inlineStr">
        <is>
          <t>343</t>
        </is>
      </c>
      <c r="M4" s="2" t="inlineStr">
        <is>
          <t>Part 4</t>
        </is>
      </c>
      <c r="N4" s="2" t="inlineStr">
        <is>
          <t>123471</t>
        </is>
      </c>
      <c r="O4" s="2" t="inlineStr">
        <is>
          <t>10.1016/j.oceaneng.2025.123471</t>
        </is>
      </c>
      <c r="P4" s="2" t="inlineStr">
        <is>
          <t>10.1016/j.oceaneng.2025.123471</t>
        </is>
      </c>
      <c r="Q4" s="2" t="inlineStr"/>
      <c r="R4" s="2" t="inlineStr"/>
      <c r="S4" s="2" t="inlineStr">
        <is>
          <t>https://doi.org/10.1016/j.oceaneng.2025.123471</t>
        </is>
      </c>
      <c r="T4" s="2" t="inlineStr"/>
      <c r="U4" s="2" t="inlineStr"/>
      <c r="V4" s="2" t="inlineStr">
        <is>
          <t>scopus</t>
        </is>
      </c>
      <c r="W4" s="2" t="inlineStr"/>
      <c r="X4" s="2" t="inlineStr"/>
      <c r="Y4" s="2" t="inlineStr">
        <is>
          <t>yes</t>
        </is>
      </c>
      <c r="Z4" s="2" t="inlineStr"/>
      <c r="AA4" s="2" t="inlineStr"/>
      <c r="AB4" s="2" t="inlineStr">
        <is>
          <t>verified_scopus</t>
        </is>
      </c>
      <c r="AC4" s="2" t="inlineStr">
        <is>
          <t>https://www.sciencedirect.com/author/57224792997/ulrik-dam-nielsen</t>
        </is>
      </c>
    </row>
    <row r="5">
      <c r="A5" s="2" t="inlineStr">
        <is>
          <t>scopus-10-1109-lgrs-2026-3659009</t>
        </is>
      </c>
      <c r="B5" s="2" t="inlineStr">
        <is>
          <t>2026</t>
        </is>
      </c>
      <c r="C5" s="2" t="inlineStr"/>
      <c r="D5" s="2" t="inlineStr">
        <is>
          <t>Sentinel-1 Ground Truth Dataset for Coastline Extraction</t>
        </is>
      </c>
      <c r="E5" s="2" t="inlineStr">
        <is>
          <t>Gianpaolo Passarello; Sergio Vitale; Giampaolo Ferraioli; Vito Pascazio</t>
        </is>
      </c>
      <c r="F5" s="2" t="inlineStr">
        <is>
          <t>Giampaolo Ferraioli</t>
        </is>
      </c>
      <c r="G5" s="2" t="inlineStr">
        <is>
          <t>Journal Article</t>
        </is>
      </c>
      <c r="H5" s="2" t="inlineStr">
        <is>
          <t>IEEE Geoscience and Remote Sensing Letters</t>
        </is>
      </c>
      <c r="I5" s="2" t="inlineStr"/>
      <c r="J5" s="2" t="inlineStr"/>
      <c r="K5" s="2" t="inlineStr"/>
      <c r="L5" s="2" t="inlineStr">
        <is>
          <t>23</t>
        </is>
      </c>
      <c r="M5" s="2" t="inlineStr"/>
      <c r="N5" s="2" t="inlineStr"/>
      <c r="O5" s="2" t="inlineStr">
        <is>
          <t>10.1109/LGRS.2026.3659009</t>
        </is>
      </c>
      <c r="P5" s="2" t="inlineStr">
        <is>
          <t>10.1109/lgrs.2026.3659009</t>
        </is>
      </c>
      <c r="Q5" s="2" t="inlineStr"/>
      <c r="R5" s="2" t="inlineStr"/>
      <c r="S5" s="2" t="inlineStr">
        <is>
          <t>https://doi.org/10.1109/LGRS.2026.3659009</t>
        </is>
      </c>
      <c r="T5" s="2" t="inlineStr"/>
      <c r="U5" s="2" t="inlineStr"/>
      <c r="V5" s="2" t="inlineStr">
        <is>
          <t>scopus</t>
        </is>
      </c>
      <c r="W5" s="2" t="inlineStr"/>
      <c r="X5" s="2" t="inlineStr"/>
      <c r="Y5" s="2" t="inlineStr">
        <is>
          <t>yes</t>
        </is>
      </c>
      <c r="Z5" s="2" t="inlineStr"/>
      <c r="AA5" s="2" t="inlineStr"/>
      <c r="AB5" s="2" t="inlineStr">
        <is>
          <t>verified_scopus</t>
        </is>
      </c>
      <c r="AC5" s="2" t="inlineStr">
        <is>
          <t>https://www.sciencedirect.com/author/7003486376/vito-pascazio</t>
        </is>
      </c>
    </row>
    <row r="6">
      <c r="A6" s="2" t="inlineStr">
        <is>
          <t>scopus-10-1109-lgrs-2025-3555441</t>
        </is>
      </c>
      <c r="B6" s="2" t="inlineStr">
        <is>
          <t>2025</t>
        </is>
      </c>
      <c r="C6" s="2" t="inlineStr"/>
      <c r="D6" s="2" t="inlineStr">
        <is>
          <t>A Deep Learning Solution for Phase Screen Estimation in SAR Tomography</t>
        </is>
      </c>
      <c r="E6" s="2" t="inlineStr">
        <is>
          <t>Hossein Aghababaei; Giampaolo Ferraioli; Sergio Vitale; Alfred Stein</t>
        </is>
      </c>
      <c r="F6" s="2" t="inlineStr">
        <is>
          <t>Giampaolo Ferraioli</t>
        </is>
      </c>
      <c r="G6" s="2" t="inlineStr">
        <is>
          <t>Journal Article</t>
        </is>
      </c>
      <c r="H6" s="2" t="inlineStr">
        <is>
          <t>IEEE Geoscience and Remote Sensing Letters</t>
        </is>
      </c>
      <c r="I6" s="2" t="inlineStr"/>
      <c r="J6" s="2" t="inlineStr"/>
      <c r="K6" s="2" t="inlineStr"/>
      <c r="L6" s="2" t="inlineStr">
        <is>
          <t>22</t>
        </is>
      </c>
      <c r="M6" s="2" t="inlineStr"/>
      <c r="N6" s="2" t="inlineStr">
        <is>
          <t>4007605</t>
        </is>
      </c>
      <c r="O6" s="2" t="inlineStr">
        <is>
          <t>10.1109/LGRS.2025.3555441</t>
        </is>
      </c>
      <c r="P6" s="2" t="inlineStr">
        <is>
          <t>10.1109/lgrs.2025.3555441</t>
        </is>
      </c>
      <c r="Q6" s="2" t="inlineStr"/>
      <c r="R6" s="2" t="inlineStr"/>
      <c r="S6" s="2" t="inlineStr">
        <is>
          <t>https://doi.org/10.1109/LGRS.2025.3555441</t>
        </is>
      </c>
      <c r="T6" s="2" t="inlineStr"/>
      <c r="U6" s="2" t="inlineStr"/>
      <c r="V6" s="2" t="inlineStr">
        <is>
          <t>scopus</t>
        </is>
      </c>
      <c r="W6" s="2" t="inlineStr"/>
      <c r="X6" s="2" t="inlineStr"/>
      <c r="Y6" s="2" t="inlineStr">
        <is>
          <t>yes</t>
        </is>
      </c>
      <c r="Z6" s="2" t="inlineStr"/>
      <c r="AA6" s="2" t="inlineStr"/>
      <c r="AB6" s="2" t="inlineStr">
        <is>
          <t>verified_scopus_indirect</t>
        </is>
      </c>
      <c r="AC6" s="2" t="inlineStr">
        <is>
          <t>https://research.utwente.nl/en/publications/a-deep-learning-solution-for-phase-screen-estimation-in-sar-tomog/</t>
        </is>
      </c>
    </row>
    <row r="7">
      <c r="A7" s="2" t="inlineStr">
        <is>
          <t>scopus-10-1109-metroaerospace64938-2025-11114485</t>
        </is>
      </c>
      <c r="B7" s="2" t="inlineStr">
        <is>
          <t>2025</t>
        </is>
      </c>
      <c r="C7" s="2" t="inlineStr"/>
      <c r="D7" s="2" t="inlineStr">
        <is>
          <t>A Micro Radar-Based Low-Cost Solution for Positioning and Detection, and Avoidance System</t>
        </is>
      </c>
      <c r="E7" s="2" t="inlineStr">
        <is>
          <t>Gennaro Ariante; Lucie Rocquelain; Salvatore Gaglione; Silvio Del Pizzo; Giuseppe Del Core</t>
        </is>
      </c>
      <c r="F7" s="2" t="inlineStr">
        <is>
          <t>Salvatore Gaglione; Silvio Del Pizzo</t>
        </is>
      </c>
      <c r="G7" s="2" t="inlineStr">
        <is>
          <t>Conference Paper</t>
        </is>
      </c>
      <c r="H7" s="2" t="inlineStr">
        <is>
          <t>2025 IEEE International Workshop on Metrology for AeroSpace, MetroAeroSpace 2025 - Proceedings</t>
        </is>
      </c>
      <c r="I7" s="2" t="inlineStr"/>
      <c r="J7" s="2" t="inlineStr"/>
      <c r="K7" s="2" t="inlineStr"/>
      <c r="L7" s="2" t="inlineStr"/>
      <c r="M7" s="2" t="inlineStr"/>
      <c r="N7" s="2" t="inlineStr"/>
      <c r="O7" s="2" t="inlineStr">
        <is>
          <t>10.1109/MetroAeroSpace64938.2025.11114485</t>
        </is>
      </c>
      <c r="P7" s="2" t="inlineStr">
        <is>
          <t>10.1109/metroaerospace64938.2025.11114485</t>
        </is>
      </c>
      <c r="Q7" s="2" t="inlineStr"/>
      <c r="R7" s="2" t="inlineStr"/>
      <c r="S7" s="2" t="inlineStr">
        <is>
          <t>https://www.scopus.com/inward/record.uri?eid=2-s2.0-105015377060&amp;doi=10.1109%2fMetroAeroSpace64938.2025.11114485&amp;partnerID=40&amp;md5=03287e527efef9f4adf9d23e9c84507f</t>
        </is>
      </c>
      <c r="T7" s="2" t="inlineStr"/>
      <c r="U7" s="2" t="inlineStr"/>
      <c r="V7" s="2" t="inlineStr">
        <is>
          <t>scopus</t>
        </is>
      </c>
      <c r="W7" s="2" t="inlineStr"/>
      <c r="X7" s="2" t="inlineStr"/>
      <c r="Y7" s="2" t="inlineStr">
        <is>
          <t>yes</t>
        </is>
      </c>
      <c r="Z7" s="2" t="inlineStr"/>
      <c r="AA7" s="2" t="inlineStr">
        <is>
          <t>2-s2.0-105015377060</t>
        </is>
      </c>
      <c r="AB7" s="2" t="inlineStr">
        <is>
          <t>verified_scopus</t>
        </is>
      </c>
      <c r="AC7" s="2" t="inlineStr">
        <is>
          <t>https://www.scopus.com/inward/record.uri?eid=2-s2.0-105015377060&amp;doi=10.1109%2fMetroAeroSpace64938.2025.11114485&amp;partnerID=40&amp;md5=03287e527efef9f4adf9d23e9c84507f</t>
        </is>
      </c>
    </row>
    <row r="8">
      <c r="A8" s="2" t="inlineStr">
        <is>
          <t>scopus-10-1016-j-oceaneng-2025-121579</t>
        </is>
      </c>
      <c r="B8" s="2" t="inlineStr">
        <is>
          <t>2025</t>
        </is>
      </c>
      <c r="C8" s="2" t="inlineStr"/>
      <c r="D8" s="2" t="inlineStr">
        <is>
          <t>A numerical model of ship manoeuvring for the KVLCC2 hull, in regular and long-crested irregular waves</t>
        </is>
      </c>
      <c r="E8" s="2" t="inlineStr">
        <is>
          <t>Maria Acanfora; Marco Altosole; Silvia Pennino</t>
        </is>
      </c>
      <c r="F8" s="2" t="inlineStr">
        <is>
          <t>Silvia Pennino</t>
        </is>
      </c>
      <c r="G8" s="2" t="inlineStr">
        <is>
          <t>Journal Article</t>
        </is>
      </c>
      <c r="H8" s="2" t="inlineStr">
        <is>
          <t>Ocean Engineering</t>
        </is>
      </c>
      <c r="I8" s="2" t="inlineStr"/>
      <c r="J8" s="2" t="inlineStr"/>
      <c r="K8" s="2" t="inlineStr"/>
      <c r="L8" s="2" t="inlineStr">
        <is>
          <t>333</t>
        </is>
      </c>
      <c r="M8" s="2" t="inlineStr"/>
      <c r="N8" s="2" t="inlineStr">
        <is>
          <t>121579</t>
        </is>
      </c>
      <c r="O8" s="2" t="inlineStr">
        <is>
          <t>10.1016/j.oceaneng.2025.121579</t>
        </is>
      </c>
      <c r="P8" s="2" t="inlineStr">
        <is>
          <t>10.1016/j.oceaneng.2025.121579</t>
        </is>
      </c>
      <c r="Q8" s="2" t="inlineStr"/>
      <c r="R8" s="2" t="inlineStr"/>
      <c r="S8" s="2" t="inlineStr">
        <is>
          <t>https://doi.org/10.1016/j.oceaneng.2025.121579</t>
        </is>
      </c>
      <c r="T8" s="2" t="inlineStr"/>
      <c r="U8" s="2" t="inlineStr"/>
      <c r="V8" s="2" t="inlineStr">
        <is>
          <t>scopus</t>
        </is>
      </c>
      <c r="W8" s="2" t="inlineStr"/>
      <c r="X8" s="2" t="inlineStr"/>
      <c r="Y8" s="2" t="inlineStr">
        <is>
          <t>yes</t>
        </is>
      </c>
      <c r="Z8" s="2" t="inlineStr"/>
      <c r="AA8" s="2" t="inlineStr"/>
      <c r="AB8" s="2" t="inlineStr">
        <is>
          <t>verified_scopus</t>
        </is>
      </c>
      <c r="AC8" s="2" t="inlineStr">
        <is>
          <t>https://ouci.dntb.gov.ua/works/9Gmm8Yyx/</t>
        </is>
      </c>
    </row>
    <row r="9">
      <c r="A9" s="2" t="inlineStr">
        <is>
          <t>scopus-10-1109-metrosea66681-2025-11245754</t>
        </is>
      </c>
      <c r="B9" s="2" t="inlineStr">
        <is>
          <t>2025</t>
        </is>
      </c>
      <c r="C9" s="2" t="inlineStr"/>
      <c r="D9" s="2" t="inlineStr">
        <is>
          <t>Advancing Offshore Renewable Energy in the Mediterranean Sea: Digital-Med, a Project for Integrating Resource Assessment and Decision Support</t>
        </is>
      </c>
      <c r="E9" s="2" t="inlineStr">
        <is>
          <t>Silvio Del Pizzo; Salvatore Gaglione; Pier Paolo Amoroso; Pasquale Contestabile; Yuri Cotroneo; Francesco Giuseppe Figliomeni; Diego Vicinanza; Giorgio Budillon</t>
        </is>
      </c>
      <c r="F9" s="2" t="inlineStr">
        <is>
          <t>Silvio Del Pizzo; Salvatore Gaglione</t>
        </is>
      </c>
      <c r="G9" s="2" t="inlineStr">
        <is>
          <t>Conference Paper</t>
        </is>
      </c>
      <c r="H9" s="2" t="inlineStr">
        <is>
          <t>2025 IEEE International Workshop on Metrology for the Sea; Learning to Measure Sea Health Parameters, MetroSea 2025 - Proceedings</t>
        </is>
      </c>
      <c r="I9" s="2" t="inlineStr"/>
      <c r="J9" s="2" t="inlineStr"/>
      <c r="K9" s="2" t="inlineStr"/>
      <c r="L9" s="2" t="inlineStr"/>
      <c r="M9" s="2" t="inlineStr"/>
      <c r="N9" s="2" t="inlineStr"/>
      <c r="O9" s="2" t="inlineStr">
        <is>
          <t>10.1109/MetroSea66681.2025.11245754</t>
        </is>
      </c>
      <c r="P9" s="2" t="inlineStr">
        <is>
          <t>10.1109/metrosea66681.2025.11245754</t>
        </is>
      </c>
      <c r="Q9" s="2" t="inlineStr"/>
      <c r="R9" s="2" t="inlineStr"/>
      <c r="S9" s="2" t="inlineStr">
        <is>
          <t>https://www.scopus.com/inward/record.uri?eid=2-s2.0-105029542122&amp;doi=10.1109%2fMetroSea66681.2025.11245754&amp;partnerID=40&amp;md5=deea9b4f945a9ec20267bce45c30d977</t>
        </is>
      </c>
      <c r="T9" s="2" t="inlineStr"/>
      <c r="U9" s="2" t="inlineStr"/>
      <c r="V9" s="2" t="inlineStr">
        <is>
          <t>scopus</t>
        </is>
      </c>
      <c r="W9" s="2" t="inlineStr"/>
      <c r="X9" s="2" t="inlineStr"/>
      <c r="Y9" s="2" t="inlineStr">
        <is>
          <t>yes</t>
        </is>
      </c>
      <c r="Z9" s="2" t="inlineStr"/>
      <c r="AA9" s="2" t="inlineStr">
        <is>
          <t>2-s2.0-105029542122</t>
        </is>
      </c>
      <c r="AB9" s="2" t="inlineStr">
        <is>
          <t>verified_scopus</t>
        </is>
      </c>
      <c r="AC9" s="2" t="inlineStr">
        <is>
          <t>https://www.scopus.com/inward/record.uri?eid=2-s2.0-105029542122&amp;doi=10.1109%2fMetroSea66681.2025.11245754&amp;partnerID=40&amp;md5=deea9b4f945a9ec20267bce45c30d977</t>
        </is>
      </c>
    </row>
    <row r="10">
      <c r="A10" s="2" t="inlineStr">
        <is>
          <t>scopus-10-1109-igarss55030-2025-11243038</t>
        </is>
      </c>
      <c r="B10" s="2" t="inlineStr">
        <is>
          <t>2025</t>
        </is>
      </c>
      <c r="C10" s="2" t="inlineStr">
        <is>
          <t>2025-08</t>
        </is>
      </c>
      <c r="D10" s="2" t="inlineStr">
        <is>
          <t>An Open-Access Cross-Modal Forest Benchmark Training Dataset With Sentinel-1 and Lidar data</t>
        </is>
      </c>
      <c r="E10" s="2" t="inlineStr">
        <is>
          <t>Hossein Aghababaei; Giampaolo Ferraioli; Gilda Schirinzi; Erkki Tomppo; Jaan Praks</t>
        </is>
      </c>
      <c r="F10" s="2" t="inlineStr">
        <is>
          <t>Giampaolo Ferraioli</t>
        </is>
      </c>
      <c r="G10" s="2" t="inlineStr">
        <is>
          <t>Conference Paper</t>
        </is>
      </c>
      <c r="H10" s="2" t="inlineStr">
        <is>
          <t>IGARSS 2025 - 2025 IEEE International Geoscience and Remote Sensing Symposium</t>
        </is>
      </c>
      <c r="I10" s="2" t="inlineStr"/>
      <c r="J10" s="2" t="inlineStr"/>
      <c r="K10" s="2" t="inlineStr"/>
      <c r="L10" s="2" t="inlineStr"/>
      <c r="M10" s="2" t="inlineStr"/>
      <c r="N10" s="2" t="inlineStr">
        <is>
          <t>3588-3591</t>
        </is>
      </c>
      <c r="O10" s="2" t="inlineStr">
        <is>
          <t>10.1109/IGARSS55030.2025.11243038</t>
        </is>
      </c>
      <c r="P10" s="2" t="inlineStr">
        <is>
          <t>10.1109/igarss55030.2025.11243038</t>
        </is>
      </c>
      <c r="Q10" s="2" t="inlineStr"/>
      <c r="R10" s="2" t="inlineStr"/>
      <c r="S10" s="2" t="inlineStr">
        <is>
          <t>https://www.scopus.com/pages/publications/105034117757</t>
        </is>
      </c>
      <c r="T10" s="2" t="inlineStr"/>
      <c r="U10" s="2" t="inlineStr"/>
      <c r="V10" s="2" t="inlineStr">
        <is>
          <t>scopus</t>
        </is>
      </c>
      <c r="W10" s="2" t="inlineStr"/>
      <c r="X10" s="2" t="inlineStr"/>
      <c r="Y10" s="2" t="inlineStr">
        <is>
          <t>yes</t>
        </is>
      </c>
      <c r="Z10" s="2" t="inlineStr"/>
      <c r="AA10" s="2" t="inlineStr">
        <is>
          <t>2-s2.0-105034117757</t>
        </is>
      </c>
      <c r="AB10" s="2" t="inlineStr">
        <is>
          <t>verified_scopus</t>
        </is>
      </c>
      <c r="AC10" s="2" t="inlineStr">
        <is>
          <t>https://research.aalto.fi/en/publications/an-open-access-cross-modal-forest-benchmark-training-dataset-with/</t>
        </is>
      </c>
    </row>
    <row r="11">
      <c r="A11" s="2" t="inlineStr">
        <is>
          <t>scopus-10-1016-j-oceaneng-2025-122258</t>
        </is>
      </c>
      <c r="B11" s="2" t="inlineStr">
        <is>
          <t>2025</t>
        </is>
      </c>
      <c r="C11" s="2" t="inlineStr">
        <is>
          <t>2025-11-30</t>
        </is>
      </c>
      <c r="D11" s="2" t="inlineStr">
        <is>
          <t>Assessment of bimodal sea states by the wave buoy analogy method</t>
        </is>
      </c>
      <c r="E11" s="2" t="inlineStr">
        <is>
          <t>Vincenzo Piscopo; Silvia Ascione; Antonio Scamardella</t>
        </is>
      </c>
      <c r="F11" s="2" t="inlineStr">
        <is>
          <t>Vincenzo Piscopo; Antonio Scamardella</t>
        </is>
      </c>
      <c r="G11" s="2" t="inlineStr">
        <is>
          <t>Journal Article</t>
        </is>
      </c>
      <c r="H11" s="2" t="inlineStr">
        <is>
          <t>Ocean Engineering</t>
        </is>
      </c>
      <c r="I11" s="2" t="inlineStr"/>
      <c r="J11" s="2" t="inlineStr"/>
      <c r="K11" s="2" t="inlineStr"/>
      <c r="L11" s="2" t="inlineStr">
        <is>
          <t>340</t>
        </is>
      </c>
      <c r="M11" s="2" t="inlineStr">
        <is>
          <t>Part 1</t>
        </is>
      </c>
      <c r="N11" s="2" t="inlineStr">
        <is>
          <t>122258</t>
        </is>
      </c>
      <c r="O11" s="2" t="inlineStr">
        <is>
          <t>10.1016/j.oceaneng.2025.122258</t>
        </is>
      </c>
      <c r="P11" s="2" t="inlineStr">
        <is>
          <t>10.1016/j.oceaneng.2025.122258</t>
        </is>
      </c>
      <c r="Q11" s="2" t="inlineStr"/>
      <c r="R11" s="2" t="inlineStr"/>
      <c r="S11" s="2" t="inlineStr">
        <is>
          <t>https://doi.org/10.1016/j.oceaneng.2025.122258</t>
        </is>
      </c>
      <c r="T11" s="2" t="inlineStr"/>
      <c r="U11" s="2" t="inlineStr"/>
      <c r="V11" s="2" t="inlineStr">
        <is>
          <t>scopus</t>
        </is>
      </c>
      <c r="W11" s="2" t="inlineStr"/>
      <c r="X11" s="2" t="inlineStr"/>
      <c r="Y11" s="2" t="inlineStr">
        <is>
          <t>yes</t>
        </is>
      </c>
      <c r="Z11" s="2" t="inlineStr"/>
      <c r="AA11" s="2" t="inlineStr"/>
      <c r="AB11" s="2" t="inlineStr">
        <is>
          <t>verified_scopus</t>
        </is>
      </c>
      <c r="AC11" s="2" t="inlineStr">
        <is>
          <t>https://www.sciencedirect.com/author/6507257720/v-piscopo</t>
        </is>
      </c>
    </row>
    <row r="12">
      <c r="A12" s="2" t="inlineStr">
        <is>
          <t>scopus-10-1038-s41598-025-00653-8</t>
        </is>
      </c>
      <c r="B12" s="2" t="inlineStr">
        <is>
          <t>2025</t>
        </is>
      </c>
      <c r="C12" s="2" t="inlineStr">
        <is>
          <t>2025-05-12</t>
        </is>
      </c>
      <c r="D12" s="2" t="inlineStr">
        <is>
          <t>Augustus’ solar meridian functioning and the birth of the western leap year</t>
        </is>
      </c>
      <c r="E12" s="2" t="inlineStr">
        <is>
          <t>V. Baiocchi; M. Baumgartner; M. Barbarella; M. T. D’Alessio; Silvio Del Pizzo; F. Giannone; F. Radicioni; A. Stoppini; G. Tosi; Salvatore Troisi; L. Alessandri</t>
        </is>
      </c>
      <c r="F12" s="2" t="inlineStr">
        <is>
          <t>Silvio Del Pizzo; Salvatore Troisi</t>
        </is>
      </c>
      <c r="G12" s="2" t="inlineStr">
        <is>
          <t>Journal Article</t>
        </is>
      </c>
      <c r="H12" s="2" t="inlineStr">
        <is>
          <t>Scientific Reports</t>
        </is>
      </c>
      <c r="I12" s="2" t="inlineStr"/>
      <c r="J12" s="2" t="inlineStr"/>
      <c r="K12" s="2" t="inlineStr"/>
      <c r="L12" s="2" t="inlineStr">
        <is>
          <t>15</t>
        </is>
      </c>
      <c r="M12" s="2" t="inlineStr"/>
      <c r="N12" s="2" t="inlineStr">
        <is>
          <t>16463</t>
        </is>
      </c>
      <c r="O12" s="2" t="inlineStr">
        <is>
          <t>10.1038/s41598-025-00653-8</t>
        </is>
      </c>
      <c r="P12" s="2" t="inlineStr">
        <is>
          <t>10.1038/s41598-025-00653-8</t>
        </is>
      </c>
      <c r="Q12" s="2" t="inlineStr"/>
      <c r="R12" s="2" t="inlineStr"/>
      <c r="S12" s="2" t="inlineStr">
        <is>
          <t>https://doi.org/10.1038/s41598-025-00653-8</t>
        </is>
      </c>
      <c r="T12" s="2" t="inlineStr"/>
      <c r="U12" s="2" t="inlineStr"/>
      <c r="V12" s="2" t="inlineStr">
        <is>
          <t>scopus</t>
        </is>
      </c>
      <c r="W12" s="2" t="inlineStr"/>
      <c r="X12" s="2" t="inlineStr"/>
      <c r="Y12" s="2" t="inlineStr">
        <is>
          <t>yes</t>
        </is>
      </c>
      <c r="Z12" s="2" t="inlineStr"/>
      <c r="AA12" s="2" t="inlineStr"/>
      <c r="AB12" s="2" t="inlineStr">
        <is>
          <t>verified_scopus_indirect</t>
        </is>
      </c>
      <c r="AC12" s="2" t="inlineStr">
        <is>
          <t>https://research.rug.nl/en/publications/augustus-solar-meridian-functioning-and-the-birth-of-the-western-/</t>
        </is>
      </c>
    </row>
    <row r="13">
      <c r="A13" s="2" t="inlineStr">
        <is>
          <t>scopus-10-1109-mgrs-2025-3612752</t>
        </is>
      </c>
      <c r="B13" s="2" t="inlineStr">
        <is>
          <t>2025</t>
        </is>
      </c>
      <c r="C13" s="2" t="inlineStr">
        <is>
          <t>2025-12-17</t>
        </is>
      </c>
      <c r="D13" s="2" t="inlineStr">
        <is>
          <t>IEEE Geoscience and Remote Sensing Society Awards Presented at the IEEE International Geoscience and Remote Sensing Symposium 2025 Awards Reception and Ceremony</t>
        </is>
      </c>
      <c r="E13" s="2" t="inlineStr">
        <is>
          <t>Francesca Bovolo; Jaya Sreevalsan-Nair; Antonio Plaza; Alberto Moreira; Giampaolo Ferraioli; Claudio Persello</t>
        </is>
      </c>
      <c r="F13" s="2" t="inlineStr">
        <is>
          <t>Giampaolo Ferraioli</t>
        </is>
      </c>
      <c r="G13" s="2" t="inlineStr">
        <is>
          <t>Conference Report</t>
        </is>
      </c>
      <c r="H13" s="2" t="inlineStr">
        <is>
          <t>IEEE Geoscience and Remote Sensing Magazine</t>
        </is>
      </c>
      <c r="I13" s="2" t="inlineStr"/>
      <c r="J13" s="2" t="inlineStr"/>
      <c r="K13" s="2" t="inlineStr"/>
      <c r="L13" s="2" t="inlineStr">
        <is>
          <t>13</t>
        </is>
      </c>
      <c r="M13" s="2" t="inlineStr"/>
      <c r="N13" s="2" t="inlineStr">
        <is>
          <t>444-454</t>
        </is>
      </c>
      <c r="O13" s="2" t="inlineStr">
        <is>
          <t>10.1109/MGRS.2025.3612752</t>
        </is>
      </c>
      <c r="P13" s="2" t="inlineStr">
        <is>
          <t>10.1109/mgrs.2025.3612752</t>
        </is>
      </c>
      <c r="Q13" s="2" t="inlineStr"/>
      <c r="R13" s="2" t="inlineStr"/>
      <c r="S13" s="2" t="inlineStr">
        <is>
          <t>https://doi.org/10.1109/MGRS.2025.3612752</t>
        </is>
      </c>
      <c r="T13" s="2" t="inlineStr"/>
      <c r="U13" s="2" t="inlineStr"/>
      <c r="V13" s="2" t="inlineStr">
        <is>
          <t>scopus</t>
        </is>
      </c>
      <c r="W13" s="2" t="inlineStr"/>
      <c r="X13" s="2" t="inlineStr"/>
      <c r="Y13" s="2" t="inlineStr">
        <is>
          <t>yes</t>
        </is>
      </c>
      <c r="Z13" s="2" t="inlineStr"/>
      <c r="AA13" s="2" t="inlineStr"/>
      <c r="AB13" s="2" t="inlineStr">
        <is>
          <t>verified_scopus</t>
        </is>
      </c>
      <c r="AC13" s="2" t="inlineStr">
        <is>
          <t>https://elib.dlr.de/222017/</t>
        </is>
      </c>
    </row>
    <row r="14">
      <c r="A14" s="2" t="inlineStr">
        <is>
          <t>scopus-10-1109-mgrs-2025-3599367</t>
        </is>
      </c>
      <c r="B14" s="2" t="inlineStr">
        <is>
          <t>2025</t>
        </is>
      </c>
      <c r="C14" s="2" t="inlineStr">
        <is>
          <t>2025-12</t>
        </is>
      </c>
      <c r="D14" s="2" t="inlineStr">
        <is>
          <t>IGARSS 2025 in Brisbane, Australia: Impressions of the First Days</t>
        </is>
      </c>
      <c r="E14" s="2" t="inlineStr">
        <is>
          <t>Alberto Moreira; Francesca Bovolo; Jaya Sreevalsan-Nair; Giampaolo Ferraioli</t>
        </is>
      </c>
      <c r="F14" s="2" t="inlineStr">
        <is>
          <t>Giampaolo Ferraioli</t>
        </is>
      </c>
      <c r="G14" s="2" t="inlineStr">
        <is>
          <t>Conference Report</t>
        </is>
      </c>
      <c r="H14" s="2" t="inlineStr">
        <is>
          <t>IEEE Geoscience and Remote Sensing Magazine</t>
        </is>
      </c>
      <c r="I14" s="2" t="inlineStr"/>
      <c r="J14" s="2" t="inlineStr"/>
      <c r="K14" s="2" t="inlineStr"/>
      <c r="L14" s="2" t="inlineStr">
        <is>
          <t>13</t>
        </is>
      </c>
      <c r="M14" s="2" t="inlineStr">
        <is>
          <t>4</t>
        </is>
      </c>
      <c r="N14" s="2" t="inlineStr">
        <is>
          <t>430-443</t>
        </is>
      </c>
      <c r="O14" s="2" t="inlineStr">
        <is>
          <t>10.1109/MGRS.2025.3599367</t>
        </is>
      </c>
      <c r="P14" s="2" t="inlineStr">
        <is>
          <t>10.1109/mgrs.2025.3599367</t>
        </is>
      </c>
      <c r="Q14" s="2" t="inlineStr"/>
      <c r="R14" s="2" t="inlineStr"/>
      <c r="S14" s="2" t="inlineStr">
        <is>
          <t>https://doi.org/10.1109/MGRS.2025.3599367</t>
        </is>
      </c>
      <c r="T14" s="2" t="inlineStr"/>
      <c r="U14" s="2" t="inlineStr"/>
      <c r="V14" s="2" t="inlineStr">
        <is>
          <t>scopus</t>
        </is>
      </c>
      <c r="W14" s="2" t="inlineStr"/>
      <c r="X14" s="2" t="inlineStr"/>
      <c r="Y14" s="2" t="inlineStr">
        <is>
          <t>yes</t>
        </is>
      </c>
      <c r="Z14" s="2" t="inlineStr"/>
      <c r="AA14" s="2" t="inlineStr"/>
      <c r="AB14" s="2" t="inlineStr">
        <is>
          <t>verified_scopus</t>
        </is>
      </c>
      <c r="AC14" s="2" t="inlineStr">
        <is>
          <t>https://elib.dlr.de/218787/</t>
        </is>
      </c>
    </row>
    <row r="15">
      <c r="A15" s="2" t="inlineStr">
        <is>
          <t>scopus-10-33012-2025-19984</t>
        </is>
      </c>
      <c r="B15" s="2" t="inlineStr">
        <is>
          <t>2025</t>
        </is>
      </c>
      <c r="C15" s="2" t="inlineStr"/>
      <c r="D15" s="2" t="inlineStr">
        <is>
          <t>The G4 Solar Storm of May 2024: Impact on the GNSS carrier-phase measurements</t>
        </is>
      </c>
      <c r="E15" s="2" t="inlineStr">
        <is>
          <t>Giovanni Cappello; Ciro Gioia; Antonio Angrisano; Gabriele Portelli; Salvatore Gaglione</t>
        </is>
      </c>
      <c r="F15" s="2" t="inlineStr">
        <is>
          <t>Salvatore Gaglione</t>
        </is>
      </c>
      <c r="G15" s="2" t="inlineStr">
        <is>
          <t>Conference Paper</t>
        </is>
      </c>
      <c r="H15" s="2" t="inlineStr">
        <is>
          <t>Proceedings of the International Technical Meeting of The Institute of Navigation, ITM</t>
        </is>
      </c>
      <c r="I15" s="2" t="inlineStr"/>
      <c r="J15" s="2" t="inlineStr"/>
      <c r="K15" s="2" t="inlineStr"/>
      <c r="L15" s="2" t="inlineStr"/>
      <c r="M15" s="2" t="inlineStr"/>
      <c r="N15" s="2" t="inlineStr"/>
      <c r="O15" s="2" t="inlineStr">
        <is>
          <t>10.33012/2025.19984</t>
        </is>
      </c>
      <c r="P15" s="2" t="inlineStr">
        <is>
          <t>10.33012/2025.19984</t>
        </is>
      </c>
      <c r="Q15" s="2" t="inlineStr"/>
      <c r="R15" s="2" t="inlineStr"/>
      <c r="S15" s="2" t="inlineStr">
        <is>
          <t>https://www.scopus.com/inward/record.uri?eid=2-s2.0-105001675036&amp;doi=10.33012%2f2025.19984&amp;partnerID=40&amp;md5=739f848160bb42247f9941f85f76ae90</t>
        </is>
      </c>
      <c r="T15" s="2" t="inlineStr"/>
      <c r="U15" s="2" t="inlineStr"/>
      <c r="V15" s="2" t="inlineStr">
        <is>
          <t>scopus</t>
        </is>
      </c>
      <c r="W15" s="2" t="inlineStr"/>
      <c r="X15" s="2" t="inlineStr"/>
      <c r="Y15" s="2" t="inlineStr">
        <is>
          <t>yes</t>
        </is>
      </c>
      <c r="Z15" s="2" t="inlineStr"/>
      <c r="AA15" s="2" t="inlineStr">
        <is>
          <t>2-s2.0-105001675036</t>
        </is>
      </c>
      <c r="AB15" s="2" t="inlineStr">
        <is>
          <t>verified_scopus</t>
        </is>
      </c>
      <c r="AC15" s="2" t="inlineStr">
        <is>
          <t>https://www.scopus.com/inward/record.uri?eid=2-s2.0-105001675036&amp;doi=10.33012%2f2025.19984&amp;partnerID=40&amp;md5=739f848160bb42247f9941f85f76ae90</t>
        </is>
      </c>
    </row>
    <row r="16">
      <c r="A16" s="2" t="inlineStr">
        <is>
          <t>scopus-10-1109-metroaerospace64938-2025-11114637</t>
        </is>
      </c>
      <c r="B16" s="2" t="inlineStr">
        <is>
          <t>2025</t>
        </is>
      </c>
      <c r="C16" s="2" t="inlineStr"/>
      <c r="D16" s="2" t="inlineStr">
        <is>
          <t>The Galileo-based UAV velocity: Doppler and Time-Differenced Carrier Phase</t>
        </is>
      </c>
      <c r="E16" s="2" t="inlineStr">
        <is>
          <t>Giovanni Cappello; Ciro Gioia; Andrea Piccolo; Antonio Angrisano; Salvatore Gaglione</t>
        </is>
      </c>
      <c r="F16" s="2" t="inlineStr">
        <is>
          <t>Salvatore Gaglione</t>
        </is>
      </c>
      <c r="G16" s="2" t="inlineStr">
        <is>
          <t>Conference Paper</t>
        </is>
      </c>
      <c r="H16" s="2" t="inlineStr">
        <is>
          <t>2025 IEEE International Workshop on Metrology for AeroSpace, MetroAeroSpace 2025 - Proceedings</t>
        </is>
      </c>
      <c r="I16" s="2" t="inlineStr"/>
      <c r="J16" s="2" t="inlineStr"/>
      <c r="K16" s="2" t="inlineStr"/>
      <c r="L16" s="2" t="inlineStr"/>
      <c r="M16" s="2" t="inlineStr"/>
      <c r="N16" s="2" t="inlineStr"/>
      <c r="O16" s="2" t="inlineStr">
        <is>
          <t>10.1109/MetroAeroSpace64938.2025.11114637</t>
        </is>
      </c>
      <c r="P16" s="2" t="inlineStr">
        <is>
          <t>10.1109/metroaerospace64938.2025.11114637</t>
        </is>
      </c>
      <c r="Q16" s="2" t="inlineStr"/>
      <c r="R16" s="2" t="inlineStr"/>
      <c r="S16" s="2" t="inlineStr">
        <is>
          <t>https://www.scopus.com/inward/record.uri?eid=2-s2.0-105015510478&amp;doi=10.1109%2fMetroAeroSpace64938.2025.11114637&amp;partnerID=40&amp;md5=7eb302fc7d501619ffc0077b7e307cfc</t>
        </is>
      </c>
      <c r="T16" s="2" t="inlineStr"/>
      <c r="U16" s="2" t="inlineStr"/>
      <c r="V16" s="2" t="inlineStr">
        <is>
          <t>scopus</t>
        </is>
      </c>
      <c r="W16" s="2" t="inlineStr"/>
      <c r="X16" s="2" t="inlineStr"/>
      <c r="Y16" s="2" t="inlineStr">
        <is>
          <t>yes</t>
        </is>
      </c>
      <c r="Z16" s="2" t="inlineStr"/>
      <c r="AA16" s="2" t="inlineStr">
        <is>
          <t>2-s2.0-105015510478</t>
        </is>
      </c>
      <c r="AB16" s="2" t="inlineStr">
        <is>
          <t>verified_scopus</t>
        </is>
      </c>
      <c r="AC16" s="2" t="inlineStr">
        <is>
          <t>https://www.scopus.com/inward/record.uri?eid=2-s2.0-105015510478&amp;doi=10.1109%2fMetroAeroSpace64938.2025.11114637&amp;partnerID=40&amp;md5=7eb302fc7d501619ffc0077b7e307cfc</t>
        </is>
      </c>
    </row>
    <row r="17">
      <c r="A17" s="2" t="inlineStr">
        <is>
          <t>scopus-10-33012-2025-19974</t>
        </is>
      </c>
      <c r="B17" s="2" t="inlineStr">
        <is>
          <t>2025</t>
        </is>
      </c>
      <c r="C17" s="2" t="inlineStr"/>
      <c r="D17" s="2" t="inlineStr">
        <is>
          <t>The synthetic meta-signal observations: a multipath resistance assessment</t>
        </is>
      </c>
      <c r="E17" s="2" t="inlineStr">
        <is>
          <t>Giovanni Cappello; Ciro Gioia; Antonio Angrisano; Salvatore Gaglione</t>
        </is>
      </c>
      <c r="F17" s="2" t="inlineStr">
        <is>
          <t>Salvatore Gaglione</t>
        </is>
      </c>
      <c r="G17" s="2" t="inlineStr">
        <is>
          <t>Conference Paper</t>
        </is>
      </c>
      <c r="H17" s="2" t="inlineStr">
        <is>
          <t>Proceedings of the International Technical Meeting of The Institute of Navigation, ITM</t>
        </is>
      </c>
      <c r="I17" s="2" t="inlineStr"/>
      <c r="J17" s="2" t="inlineStr"/>
      <c r="K17" s="2" t="inlineStr"/>
      <c r="L17" s="2" t="inlineStr"/>
      <c r="M17" s="2" t="inlineStr"/>
      <c r="N17" s="2" t="inlineStr"/>
      <c r="O17" s="2" t="inlineStr">
        <is>
          <t>10.33012/2025.19974</t>
        </is>
      </c>
      <c r="P17" s="2" t="inlineStr">
        <is>
          <t>10.33012/2025.19974</t>
        </is>
      </c>
      <c r="Q17" s="2" t="inlineStr"/>
      <c r="R17" s="2" t="inlineStr"/>
      <c r="S17" s="2" t="inlineStr">
        <is>
          <t>https://www.scopus.com/inward/record.uri?eid=2-s2.0-105001668620&amp;doi=10.33012%2f2025.19974&amp;partnerID=40&amp;md5=e3784e375792ec1833f2de6d00e0ea7b</t>
        </is>
      </c>
      <c r="T17" s="2" t="inlineStr"/>
      <c r="U17" s="2" t="inlineStr"/>
      <c r="V17" s="2" t="inlineStr">
        <is>
          <t>scopus</t>
        </is>
      </c>
      <c r="W17" s="2" t="inlineStr"/>
      <c r="X17" s="2" t="inlineStr"/>
      <c r="Y17" s="2" t="inlineStr">
        <is>
          <t>yes</t>
        </is>
      </c>
      <c r="Z17" s="2" t="inlineStr"/>
      <c r="AA17" s="2" t="inlineStr">
        <is>
          <t>2-s2.0-105001668620</t>
        </is>
      </c>
      <c r="AB17" s="2" t="inlineStr">
        <is>
          <t>verified_scopus</t>
        </is>
      </c>
      <c r="AC17" s="2" t="inlineStr">
        <is>
          <t>https://www.scopus.com/inward/record.uri?eid=2-s2.0-105001668620&amp;doi=10.33012%2f2025.19974&amp;partnerID=40&amp;md5=e3784e375792ec1833f2de6d00e0ea7b</t>
        </is>
      </c>
    </row>
    <row r="18">
      <c r="A18" s="2" t="inlineStr">
        <is>
          <t>scopus-10-3390-agriengineering7040120</t>
        </is>
      </c>
      <c r="B18" s="2" t="inlineStr">
        <is>
          <t>2025</t>
        </is>
      </c>
      <c r="C18" s="2" t="inlineStr">
        <is>
          <t>2025-04</t>
        </is>
      </c>
      <c r="D18" s="2" t="inlineStr">
        <is>
          <t>Tomato Leaf Detection, Segmentation, and Extraction in Real-Time Environment for Accurate Disease Detection</t>
        </is>
      </c>
      <c r="E18" s="2" t="inlineStr">
        <is>
          <t>Shahab Ul Islam; Giampaolo Ferraioli; Vito Pascazio</t>
        </is>
      </c>
      <c r="F18" s="2" t="inlineStr">
        <is>
          <t>Giampaolo Ferraioli</t>
        </is>
      </c>
      <c r="G18" s="2" t="inlineStr">
        <is>
          <t>Journal Article</t>
        </is>
      </c>
      <c r="H18" s="2" t="inlineStr">
        <is>
          <t>AgriEngineering</t>
        </is>
      </c>
      <c r="I18" s="2" t="inlineStr"/>
      <c r="J18" s="2" t="inlineStr"/>
      <c r="K18" s="2" t="inlineStr"/>
      <c r="L18" s="2" t="inlineStr">
        <is>
          <t>7</t>
        </is>
      </c>
      <c r="M18" s="2" t="inlineStr">
        <is>
          <t>4</t>
        </is>
      </c>
      <c r="N18" s="2" t="inlineStr">
        <is>
          <t>120</t>
        </is>
      </c>
      <c r="O18" s="2" t="inlineStr">
        <is>
          <t>10.3390/agriengineering7040120</t>
        </is>
      </c>
      <c r="P18" s="2" t="inlineStr">
        <is>
          <t>10.3390/agriengineering7040120</t>
        </is>
      </c>
      <c r="Q18" s="2" t="inlineStr"/>
      <c r="R18" s="2" t="inlineStr"/>
      <c r="S18" s="2" t="inlineStr">
        <is>
          <t>https://doi.org/10.3390/agriengineering7040120</t>
        </is>
      </c>
      <c r="T18" s="2" t="inlineStr"/>
      <c r="U18" s="2" t="inlineStr"/>
      <c r="V18" s="2" t="inlineStr">
        <is>
          <t>scopus</t>
        </is>
      </c>
      <c r="W18" s="2" t="inlineStr"/>
      <c r="X18" s="2" t="inlineStr"/>
      <c r="Y18" s="2" t="inlineStr">
        <is>
          <t>yes</t>
        </is>
      </c>
      <c r="Z18" s="2" t="inlineStr"/>
      <c r="AA18" s="2" t="inlineStr"/>
      <c r="AB18" s="2" t="inlineStr">
        <is>
          <t>verified_scopus</t>
        </is>
      </c>
      <c r="AC18" s="2" t="inlineStr">
        <is>
          <t>https://ouci.dntb.gov.ua/en/works/l111xP2y/</t>
        </is>
      </c>
    </row>
    <row r="19">
      <c r="A19" s="2" t="inlineStr">
        <is>
          <t>scopus-10-3390-engproc2025088014</t>
        </is>
      </c>
      <c r="B19" s="2" t="inlineStr">
        <is>
          <t>2025</t>
        </is>
      </c>
      <c r="C19" s="2" t="inlineStr"/>
      <c r="D19" s="2" t="inlineStr">
        <is>
          <t>Toward Context-Aware GNSS Positioning: A Preliminary Analysis</t>
        </is>
      </c>
      <c r="E19" s="2" t="inlineStr">
        <is>
          <t>Giovanni Cappello; Antonio Maratea; Ciro Gioia; Antonio Angrisano; Silvio Del Pizzo; Salvatore Gaglione</t>
        </is>
      </c>
      <c r="F19" s="2" t="inlineStr">
        <is>
          <t>Silvio Del Pizzo; Salvatore Gaglione</t>
        </is>
      </c>
      <c r="G19" s="2" t="inlineStr">
        <is>
          <t>Journal Article</t>
        </is>
      </c>
      <c r="H19" s="2" t="inlineStr">
        <is>
          <t>Engineering Proceedings</t>
        </is>
      </c>
      <c r="I19" s="2" t="inlineStr"/>
      <c r="J19" s="2" t="inlineStr"/>
      <c r="K19" s="2" t="inlineStr"/>
      <c r="L19" s="2" t="inlineStr">
        <is>
          <t>88</t>
        </is>
      </c>
      <c r="M19" s="2" t="inlineStr"/>
      <c r="N19" s="2" t="inlineStr"/>
      <c r="O19" s="2" t="inlineStr">
        <is>
          <t>10.3390/engproc2025088014</t>
        </is>
      </c>
      <c r="P19" s="2" t="inlineStr">
        <is>
          <t>10.3390/engproc2025088014</t>
        </is>
      </c>
      <c r="Q19" s="2" t="inlineStr"/>
      <c r="R19" s="2" t="inlineStr"/>
      <c r="S19" s="2" t="inlineStr">
        <is>
          <t>https://www.scopus.com/inward/record.uri?eid=2-s2.0-105023666393&amp;doi=10.3390%2fengproc2025088014&amp;partnerID=40&amp;md5=062a75da7c74085f6b1f50a1bc441882</t>
        </is>
      </c>
      <c r="T19" s="2" t="inlineStr"/>
      <c r="U19" s="2" t="inlineStr"/>
      <c r="V19" s="2" t="inlineStr">
        <is>
          <t>scopus</t>
        </is>
      </c>
      <c r="W19" s="2" t="inlineStr"/>
      <c r="X19" s="2" t="inlineStr"/>
      <c r="Y19" s="2" t="inlineStr">
        <is>
          <t>yes</t>
        </is>
      </c>
      <c r="Z19" s="2" t="inlineStr"/>
      <c r="AA19" s="2" t="inlineStr">
        <is>
          <t>2-s2.0-105023666393</t>
        </is>
      </c>
      <c r="AB19" s="2" t="inlineStr">
        <is>
          <t>verified_scopus</t>
        </is>
      </c>
      <c r="AC19" s="2" t="inlineStr">
        <is>
          <t>https://www.scopus.com/inward/record.uri?eid=2-s2.0-105023666393&amp;doi=10.3390%2fengproc2025088014&amp;partnerID=40&amp;md5=062a75da7c74085f6b1f50a1bc441882</t>
        </is>
      </c>
    </row>
    <row r="20">
      <c r="A20" s="2" t="inlineStr">
        <is>
          <t>drupal-258</t>
        </is>
      </c>
      <c r="B20" s="2" t="inlineStr">
        <is>
          <t>2024</t>
        </is>
      </c>
      <c r="C20" s="2" t="inlineStr"/>
      <c r="D20" s="2" t="inlineStr">
        <is>
          <t>An Action-Camera Based Stereo System for MicroROV for Monitoring Coralline Algae in the Mediterranean Sea: Preliminary Assessment</t>
        </is>
      </c>
      <c r="E20" s="2" t="inlineStr">
        <is>
          <t>Silvio Del Pizzo; Erica Nocerino; Salvatore Gaglione; Alessio Calantropio; Fabio Menna; Salvatore Troisi</t>
        </is>
      </c>
      <c r="F20" s="2" t="inlineStr">
        <is>
          <t>Silvio Del Pizzo; Salvatore Gaglione; Salvatore Troisi</t>
        </is>
      </c>
      <c r="G20" s="2" t="inlineStr">
        <is>
          <t>Conference Paper</t>
        </is>
      </c>
      <c r="H20" s="2" t="inlineStr">
        <is>
          <t>2024 IEEE International Workshop on Metrology for the Sea, MetroSea 2024 - Proceedings</t>
        </is>
      </c>
      <c r="I20" s="2" t="inlineStr"/>
      <c r="J20" s="2" t="inlineStr"/>
      <c r="K20" s="2" t="inlineStr"/>
      <c r="L20" s="2" t="inlineStr"/>
      <c r="M20" s="2" t="inlineStr"/>
      <c r="N20" s="2" t="inlineStr"/>
      <c r="O20" s="2" t="inlineStr">
        <is>
          <t>10.1109/MetroSea62823.2024.10765774</t>
        </is>
      </c>
      <c r="P20" s="2" t="inlineStr">
        <is>
          <t>10.1109/MetroSea62823.2024.10765774</t>
        </is>
      </c>
      <c r="Q20" s="2" t="inlineStr"/>
      <c r="R20" s="2" t="inlineStr"/>
      <c r="S20" s="2" t="inlineStr">
        <is>
          <t>https://www.scopus.com/inward/record.uri?eid=2-s2.0-85214391242&amp;doi=10.1109%2fMetroSea62823.2024.10765774&amp;partnerID=40&amp;md5=2d0c92ac8be583233e06effe4d12532f</t>
        </is>
      </c>
      <c r="T20" s="2" t="inlineStr"/>
      <c r="U20" s="2" t="inlineStr">
        <is>
          <t>eng</t>
        </is>
      </c>
      <c r="V20" s="2" t="inlineStr">
        <is>
          <t>drupal</t>
        </is>
      </c>
      <c r="W20" s="2" t="inlineStr">
        <is>
          <t>258</t>
        </is>
      </c>
      <c r="X20" s="2" t="inlineStr">
        <is>
          <t>1</t>
        </is>
      </c>
      <c r="Y20" s="2" t="inlineStr">
        <is>
          <t>yes</t>
        </is>
      </c>
      <c r="Z20" s="2" t="inlineStr"/>
      <c r="AA20" s="2" t="inlineStr"/>
      <c r="AB20" s="2" t="inlineStr">
        <is>
          <t>legacy_drupal_historical</t>
        </is>
      </c>
      <c r="AC20" s="2" t="inlineStr"/>
    </row>
    <row r="21">
      <c r="A21" s="2" t="inlineStr">
        <is>
          <t>drupal-256</t>
        </is>
      </c>
      <c r="B21" s="2" t="inlineStr">
        <is>
          <t>2024</t>
        </is>
      </c>
      <c r="C21" s="2" t="inlineStr"/>
      <c r="D21" s="2" t="inlineStr">
        <is>
          <t>Analysis of HAS performance in pedestrian navigation with different grade devices</t>
        </is>
      </c>
      <c r="E21" s="2" t="inlineStr">
        <is>
          <t>Antonio Angrisano; Milad Bagheri; Giovanni Cappello; Paolo Dabove; Silvio Del Pizzo; Salvatore Gaglione; Ciro Gioia; Gabriele Portelli; Salvatore Troisi</t>
        </is>
      </c>
      <c r="F21" s="2" t="inlineStr">
        <is>
          <t>Silvio Del Pizzo; Salvatore Gaglione; Salvatore Troisi</t>
        </is>
      </c>
      <c r="G21" s="2" t="inlineStr">
        <is>
          <t>Journal Article</t>
        </is>
      </c>
      <c r="H21" s="2" t="inlineStr">
        <is>
          <t>Proceedings of the International Technical Meeting of the Satellite Division of The Institute of Navigation, ION GNSS+</t>
        </is>
      </c>
      <c r="I21" s="2" t="inlineStr"/>
      <c r="J21" s="2" t="inlineStr"/>
      <c r="K21" s="2" t="inlineStr"/>
      <c r="L21" s="2" t="inlineStr"/>
      <c r="M21" s="2" t="inlineStr"/>
      <c r="N21" s="2" t="inlineStr">
        <is>
          <t>2123 – 2135</t>
        </is>
      </c>
      <c r="O21" s="2" t="inlineStr">
        <is>
          <t>10.33012/2024.19785</t>
        </is>
      </c>
      <c r="P21" s="2" t="inlineStr">
        <is>
          <t>10.33012/2024.19785</t>
        </is>
      </c>
      <c r="Q21" s="2" t="inlineStr"/>
      <c r="R21" s="2" t="inlineStr"/>
      <c r="S21" s="2" t="inlineStr">
        <is>
          <t>https://www.scopus.com/inward/record.uri?eid=2-s2.0-105012766205&amp;doi=10.33012%2f2024.19785&amp;partnerID=40&amp;md5=e81c13a01c9e0d13144add1c588eb12c</t>
        </is>
      </c>
      <c r="T21" s="2" t="inlineStr"/>
      <c r="U21" s="2" t="inlineStr">
        <is>
          <t>eng</t>
        </is>
      </c>
      <c r="V21" s="2" t="inlineStr">
        <is>
          <t>drupal</t>
        </is>
      </c>
      <c r="W21" s="2" t="inlineStr">
        <is>
          <t>256</t>
        </is>
      </c>
      <c r="X21" s="2" t="inlineStr">
        <is>
          <t>1</t>
        </is>
      </c>
      <c r="Y21" s="2" t="inlineStr">
        <is>
          <t>yes</t>
        </is>
      </c>
      <c r="Z21" s="2" t="inlineStr"/>
      <c r="AA21" s="2" t="inlineStr"/>
      <c r="AB21" s="2" t="inlineStr">
        <is>
          <t>legacy_drupal_historical</t>
        </is>
      </c>
      <c r="AC21" s="2" t="inlineStr"/>
    </row>
    <row r="22">
      <c r="A22" s="2" t="inlineStr">
        <is>
          <t>drupal-261</t>
        </is>
      </c>
      <c r="B22" s="2" t="inlineStr">
        <is>
          <t>2024</t>
        </is>
      </c>
      <c r="C22" s="2" t="inlineStr"/>
      <c r="D22" s="2" t="inlineStr">
        <is>
          <t>Correlation of Collision Damage Statistical Properties by Gaussian Copula Functions</t>
        </is>
      </c>
      <c r="E22" s="2" t="inlineStr">
        <is>
          <t>Salvatore Gaglione; Vincenzo Piscopo; Andrea Sciacca</t>
        </is>
      </c>
      <c r="F22" s="2" t="inlineStr">
        <is>
          <t>Salvatore Gaglione; Vincenzo Piscopo</t>
        </is>
      </c>
      <c r="G22" s="2" t="inlineStr">
        <is>
          <t>Conference Paper</t>
        </is>
      </c>
      <c r="H22" s="2" t="inlineStr">
        <is>
          <t>2024 IEEE International Workshop on Metrology for the Sea, MetroSea 2024 - Proceedings</t>
        </is>
      </c>
      <c r="I22" s="2" t="inlineStr"/>
      <c r="J22" s="2" t="inlineStr"/>
      <c r="K22" s="2" t="inlineStr"/>
      <c r="L22" s="2" t="inlineStr"/>
      <c r="M22" s="2" t="inlineStr"/>
      <c r="N22" s="2" t="inlineStr"/>
      <c r="O22" s="2" t="inlineStr">
        <is>
          <t>10.1109/MetroSea62823.2024.10765782</t>
        </is>
      </c>
      <c r="P22" s="2" t="inlineStr">
        <is>
          <t>10.1109/MetroSea62823.2024.10765782</t>
        </is>
      </c>
      <c r="Q22" s="2" t="inlineStr"/>
      <c r="R22" s="2" t="inlineStr"/>
      <c r="S22" s="2" t="inlineStr">
        <is>
          <t>https://www.scopus.com/inward/record.uri?eid=2-s2.0-85214363453&amp;doi=10.1109%2fMetroSea62823.2024.10765782&amp;partnerID=40&amp;md5=14f1ce4e0d1531fda790a79b0eae0ad1</t>
        </is>
      </c>
      <c r="T22" s="2" t="inlineStr"/>
      <c r="U22" s="2" t="inlineStr">
        <is>
          <t>eng</t>
        </is>
      </c>
      <c r="V22" s="2" t="inlineStr">
        <is>
          <t>drupal</t>
        </is>
      </c>
      <c r="W22" s="2" t="inlineStr">
        <is>
          <t>261</t>
        </is>
      </c>
      <c r="X22" s="2" t="inlineStr">
        <is>
          <t>1</t>
        </is>
      </c>
      <c r="Y22" s="2" t="inlineStr">
        <is>
          <t>yes</t>
        </is>
      </c>
      <c r="Z22" s="2" t="inlineStr"/>
      <c r="AA22" s="2" t="inlineStr"/>
      <c r="AB22" s="2" t="inlineStr">
        <is>
          <t>legacy_drupal_historical</t>
        </is>
      </c>
      <c r="AC22" s="2" t="inlineStr"/>
    </row>
    <row r="23">
      <c r="A23" s="2" t="inlineStr">
        <is>
          <t>drupal-259</t>
        </is>
      </c>
      <c r="B23" s="2" t="inlineStr">
        <is>
          <t>2024</t>
        </is>
      </c>
      <c r="C23" s="2" t="inlineStr"/>
      <c r="D23" s="2" t="inlineStr">
        <is>
          <t>GNSS-Based Velocity Measurement for Smart Mobility Systems</t>
        </is>
      </c>
      <c r="E23" s="2" t="inlineStr">
        <is>
          <t>Antonio Angrisano; Luigi Ferrigno; Salvatore Gaglione; Gianfranco Miele; Keerthana Velusamy</t>
        </is>
      </c>
      <c r="F23" s="2" t="inlineStr">
        <is>
          <t>Salvatore Gaglione</t>
        </is>
      </c>
      <c r="G23" s="2" t="inlineStr">
        <is>
          <t>Conference Paper</t>
        </is>
      </c>
      <c r="H23" s="2" t="inlineStr">
        <is>
          <t>2024 IEEE International Symposium on Measurements and Networking, M and N 2024 - Proceedings</t>
        </is>
      </c>
      <c r="I23" s="2" t="inlineStr"/>
      <c r="J23" s="2" t="inlineStr"/>
      <c r="K23" s="2" t="inlineStr"/>
      <c r="L23" s="2" t="inlineStr"/>
      <c r="M23" s="2" t="inlineStr"/>
      <c r="N23" s="2" t="inlineStr"/>
      <c r="O23" s="2" t="inlineStr">
        <is>
          <t>10.1109/MN60932.2024.10615589</t>
        </is>
      </c>
      <c r="P23" s="2" t="inlineStr">
        <is>
          <t>10.1109/MN60932.2024.10615589</t>
        </is>
      </c>
      <c r="Q23" s="2" t="inlineStr"/>
      <c r="R23" s="2" t="inlineStr"/>
      <c r="S23" s="2" t="inlineStr">
        <is>
          <t>https://www.scopus.com/inward/record.uri?eid=2-s2.0-85201282172&amp;doi=10.1109%2fMN60932.2024.10615589&amp;partnerID=40&amp;md5=5ea07535af170ea0a0c98f82003e0e57</t>
        </is>
      </c>
      <c r="T23" s="2" t="inlineStr"/>
      <c r="U23" s="2" t="inlineStr">
        <is>
          <t>eng</t>
        </is>
      </c>
      <c r="V23" s="2" t="inlineStr">
        <is>
          <t>drupal</t>
        </is>
      </c>
      <c r="W23" s="2" t="inlineStr">
        <is>
          <t>259</t>
        </is>
      </c>
      <c r="X23" s="2" t="inlineStr">
        <is>
          <t>1</t>
        </is>
      </c>
      <c r="Y23" s="2" t="inlineStr">
        <is>
          <t>yes</t>
        </is>
      </c>
      <c r="Z23" s="2" t="inlineStr"/>
      <c r="AA23" s="2" t="inlineStr"/>
      <c r="AB23" s="2" t="inlineStr">
        <is>
          <t>legacy_drupal_historical</t>
        </is>
      </c>
      <c r="AC23" s="2" t="inlineStr"/>
    </row>
    <row r="24">
      <c r="A24" s="2" t="inlineStr">
        <is>
          <t>drupal-257</t>
        </is>
      </c>
      <c r="B24" s="2" t="inlineStr">
        <is>
          <t>2024</t>
        </is>
      </c>
      <c r="C24" s="2" t="inlineStr"/>
      <c r="D24" s="2" t="inlineStr">
        <is>
          <t>Test of Galileo HAS in Precise Maritime Survey</t>
        </is>
      </c>
      <c r="E24" s="2" t="inlineStr">
        <is>
          <t>Antonio Angrisano; Giovanni Cappello; Silvio Del Pizzo; Salvatore Gaglione; Ciro Gioia; Gabriele Portelli; Salvatore Troisi</t>
        </is>
      </c>
      <c r="F24" s="2" t="inlineStr">
        <is>
          <t>Silvio Del Pizzo; Salvatore Gaglione; Salvatore Troisi</t>
        </is>
      </c>
      <c r="G24" s="2" t="inlineStr">
        <is>
          <t>Conference Paper</t>
        </is>
      </c>
      <c r="H24" s="2" t="inlineStr">
        <is>
          <t>2024 IEEE International Workshop on Metrology for the Sea, MetroSea 2024 - Proceedings</t>
        </is>
      </c>
      <c r="I24" s="2" t="inlineStr"/>
      <c r="J24" s="2" t="inlineStr"/>
      <c r="K24" s="2" t="inlineStr"/>
      <c r="L24" s="2" t="inlineStr"/>
      <c r="M24" s="2" t="inlineStr"/>
      <c r="N24" s="2" t="inlineStr"/>
      <c r="O24" s="2" t="inlineStr">
        <is>
          <t>10.1109/MetroSea62823.2024.10765743</t>
        </is>
      </c>
      <c r="P24" s="2" t="inlineStr">
        <is>
          <t>10.1109/MetroSea62823.2024.10765743</t>
        </is>
      </c>
      <c r="Q24" s="2" t="inlineStr"/>
      <c r="R24" s="2" t="inlineStr"/>
      <c r="S24" s="2" t="inlineStr">
        <is>
          <t>https://www.scopus.com/inward/record.uri?eid=2-s2.0-85214362769&amp;doi=10.1109%2fMetroSea62823.2024.10765743&amp;partnerID=40&amp;md5=713959dc325e54a403184d6b7aadc894</t>
        </is>
      </c>
      <c r="T24" s="2" t="inlineStr"/>
      <c r="U24" s="2" t="inlineStr">
        <is>
          <t>eng</t>
        </is>
      </c>
      <c r="V24" s="2" t="inlineStr">
        <is>
          <t>drupal</t>
        </is>
      </c>
      <c r="W24" s="2" t="inlineStr">
        <is>
          <t>257</t>
        </is>
      </c>
      <c r="X24" s="2" t="inlineStr">
        <is>
          <t>1</t>
        </is>
      </c>
      <c r="Y24" s="2" t="inlineStr">
        <is>
          <t>yes</t>
        </is>
      </c>
      <c r="Z24" s="2" t="inlineStr"/>
      <c r="AA24" s="2" t="inlineStr"/>
      <c r="AB24" s="2" t="inlineStr">
        <is>
          <t>legacy_drupal_historical</t>
        </is>
      </c>
      <c r="AC24" s="2" t="inlineStr"/>
    </row>
    <row r="25">
      <c r="A25" s="2" t="inlineStr">
        <is>
          <t>drupal-262</t>
        </is>
      </c>
      <c r="B25" s="2" t="inlineStr">
        <is>
          <t>2024</t>
        </is>
      </c>
      <c r="C25" s="2" t="inlineStr"/>
      <c r="D25" s="2" t="inlineStr">
        <is>
          <t>The 3d reconstruction of the sansevero chapel anatomical machines: A geomatics challenge</t>
        </is>
      </c>
      <c r="E25" s="2" t="inlineStr">
        <is>
          <t>Silvio Del Pizzo; Fabiana Di Ciaccio; Salvatore Gaglione; F.M. Galassi; V. Papa; E. Varotto; Salvatore Troisi</t>
        </is>
      </c>
      <c r="F25" s="2" t="inlineStr">
        <is>
          <t>Silvio Del Pizzo; Salvatore Gaglione; Salvatore Troisi</t>
        </is>
      </c>
      <c r="G25" s="2" t="inlineStr">
        <is>
          <t>Conference Paper</t>
        </is>
      </c>
      <c r="H25" s="2" t="inlineStr">
        <is>
          <t>International Archives of the Photogrammetry, Remote Sensing and Spatial Information Sciences - ISPRS Archives</t>
        </is>
      </c>
      <c r="I25" s="2" t="inlineStr"/>
      <c r="J25" s="2" t="inlineStr"/>
      <c r="K25" s="2" t="inlineStr"/>
      <c r="L25" s="2" t="inlineStr"/>
      <c r="M25" s="2" t="inlineStr"/>
      <c r="N25" s="2" t="inlineStr"/>
      <c r="O25" s="2" t="inlineStr">
        <is>
          <t>10.5194/isprs-Archives-XLVIII-2-W4-2024-173-2024</t>
        </is>
      </c>
      <c r="P25" s="2" t="inlineStr">
        <is>
          <t>10.5194/isprs-Archives-XLVIII-2-W4-2024-173-2024</t>
        </is>
      </c>
      <c r="Q25" s="2" t="inlineStr"/>
      <c r="R25" s="2" t="inlineStr"/>
      <c r="S25" s="2" t="inlineStr">
        <is>
          <t>https://www.scopus.com/inward/record.uri?eid=2-s2.0-85186960308&amp;doi=10.5194%2fisprs-Archives-XLVIII-2-W4-2024-173-2024&amp;partnerID=40&amp;md5=d5d299a56153d9ea77e6f6cd098e499e</t>
        </is>
      </c>
      <c r="T25" s="2" t="inlineStr"/>
      <c r="U25" s="2" t="inlineStr">
        <is>
          <t>eng</t>
        </is>
      </c>
      <c r="V25" s="2" t="inlineStr">
        <is>
          <t>drupal</t>
        </is>
      </c>
      <c r="W25" s="2" t="inlineStr">
        <is>
          <t>262</t>
        </is>
      </c>
      <c r="X25" s="2" t="inlineStr">
        <is>
          <t>1</t>
        </is>
      </c>
      <c r="Y25" s="2" t="inlineStr">
        <is>
          <t>yes</t>
        </is>
      </c>
      <c r="Z25" s="2" t="inlineStr"/>
      <c r="AA25" s="2" t="inlineStr"/>
      <c r="AB25" s="2" t="inlineStr">
        <is>
          <t>legacy_drupal_historical</t>
        </is>
      </c>
      <c r="AC25" s="2" t="inlineStr"/>
    </row>
    <row r="26">
      <c r="A26" s="2" t="inlineStr">
        <is>
          <t>drupal-260</t>
        </is>
      </c>
      <c r="B26" s="2" t="inlineStr">
        <is>
          <t>2024</t>
        </is>
      </c>
      <c r="C26" s="2" t="inlineStr"/>
      <c r="D26" s="2" t="inlineStr">
        <is>
          <t>Velocity Estimation Using Time-Differenced Carrier Phase and Doppler Shift with Different Grades of Devices: From Smartphones to Professional Receivers</t>
        </is>
      </c>
      <c r="E26" s="2" t="inlineStr">
        <is>
          <t>Antonio Angrisano; Giovanni Cappello; Salvatore Gaglione; Ciro Gioia</t>
        </is>
      </c>
      <c r="F26" s="2" t="inlineStr">
        <is>
          <t>Salvatore Gaglione</t>
        </is>
      </c>
      <c r="G26" s="2" t="inlineStr">
        <is>
          <t>Journal Article</t>
        </is>
      </c>
      <c r="H26" s="2" t="inlineStr">
        <is>
          <t>Algorithms</t>
        </is>
      </c>
      <c r="I26" s="2" t="inlineStr"/>
      <c r="J26" s="2" t="inlineStr"/>
      <c r="K26" s="2" t="inlineStr"/>
      <c r="L26" s="2" t="inlineStr">
        <is>
          <t>17</t>
        </is>
      </c>
      <c r="M26" s="2" t="inlineStr"/>
      <c r="N26" s="2" t="inlineStr"/>
      <c r="O26" s="2" t="inlineStr">
        <is>
          <t>10.3390/a17010002</t>
        </is>
      </c>
      <c r="P26" s="2" t="inlineStr">
        <is>
          <t>10.3390/a17010002</t>
        </is>
      </c>
      <c r="Q26" s="2" t="inlineStr"/>
      <c r="R26" s="2" t="inlineStr"/>
      <c r="S26" s="2" t="inlineStr">
        <is>
          <t>https://www.scopus.com/inward/record.uri?eid=2-s2.0-85183172433&amp;doi=10.3390%2fa17010002&amp;partnerID=40&amp;md5=8afa55dd42780951d37d263b0eeaade4</t>
        </is>
      </c>
      <c r="T26" s="2" t="inlineStr"/>
      <c r="U26" s="2" t="inlineStr">
        <is>
          <t>eng</t>
        </is>
      </c>
      <c r="V26" s="2" t="inlineStr">
        <is>
          <t>drupal</t>
        </is>
      </c>
      <c r="W26" s="2" t="inlineStr">
        <is>
          <t>260</t>
        </is>
      </c>
      <c r="X26" s="2" t="inlineStr">
        <is>
          <t>1</t>
        </is>
      </c>
      <c r="Y26" s="2" t="inlineStr">
        <is>
          <t>yes</t>
        </is>
      </c>
      <c r="Z26" s="2" t="inlineStr"/>
      <c r="AA26" s="2" t="inlineStr"/>
      <c r="AB26" s="2" t="inlineStr">
        <is>
          <t>legacy_drupal_historical</t>
        </is>
      </c>
      <c r="AC26" s="2" t="inlineStr"/>
    </row>
    <row r="27">
      <c r="A27" s="2" t="inlineStr">
        <is>
          <t>drupal-247</t>
        </is>
      </c>
      <c r="B27" s="2" t="inlineStr">
        <is>
          <t>2023</t>
        </is>
      </c>
      <c r="C27" s="2" t="inlineStr"/>
      <c r="D27" s="2" t="inlineStr">
        <is>
          <t>An Enhanced Photogrammetric Approach for the Underwater Surveying of the Posidonia Meadow Structure in the Spiaggia Nera Area of Maratea</t>
        </is>
      </c>
      <c r="E27" s="2" t="inlineStr">
        <is>
          <t>Francesca Russo; Silvio Del Pizzo; Fabiana Di Ciaccio; Salvatore Troisi</t>
        </is>
      </c>
      <c r="F27" s="2" t="inlineStr">
        <is>
          <t>Silvio Del Pizzo; Salvatore Troisi</t>
        </is>
      </c>
      <c r="G27" s="2" t="inlineStr">
        <is>
          <t>Journal Article</t>
        </is>
      </c>
      <c r="H27" s="2" t="inlineStr">
        <is>
          <t>Journal of Imaging</t>
        </is>
      </c>
      <c r="I27" s="2" t="inlineStr"/>
      <c r="J27" s="2" t="inlineStr"/>
      <c r="K27" s="2" t="inlineStr"/>
      <c r="L27" s="2" t="inlineStr">
        <is>
          <t>9</t>
        </is>
      </c>
      <c r="M27" s="2" t="inlineStr"/>
      <c r="N27" s="2" t="inlineStr">
        <is>
          <t>113</t>
        </is>
      </c>
      <c r="O27" s="2" t="inlineStr"/>
      <c r="P27" s="2" t="inlineStr"/>
      <c r="Q27" s="2" t="inlineStr"/>
      <c r="R27" s="2" t="inlineStr"/>
      <c r="S27" s="2" t="inlineStr"/>
      <c r="T27" s="2" t="inlineStr"/>
      <c r="U27" s="2" t="inlineStr">
        <is>
          <t>eng</t>
        </is>
      </c>
      <c r="V27" s="2" t="inlineStr">
        <is>
          <t>drupal</t>
        </is>
      </c>
      <c r="W27" s="2" t="inlineStr">
        <is>
          <t>247</t>
        </is>
      </c>
      <c r="X27" s="2" t="inlineStr">
        <is>
          <t>1</t>
        </is>
      </c>
      <c r="Y27" s="2" t="inlineStr">
        <is>
          <t>yes</t>
        </is>
      </c>
      <c r="Z27" s="2" t="inlineStr">
        <is>
          <t>missing_doi</t>
        </is>
      </c>
      <c r="AA27" s="2" t="inlineStr"/>
      <c r="AB27" s="2" t="inlineStr">
        <is>
          <t>legacy_drupal_historical</t>
        </is>
      </c>
      <c r="AC27" s="2" t="inlineStr"/>
    </row>
    <row r="28">
      <c r="A28" s="2" t="inlineStr">
        <is>
          <t>drupal-243</t>
        </is>
      </c>
      <c r="B28" s="2" t="inlineStr">
        <is>
          <t>2023</t>
        </is>
      </c>
      <c r="C28" s="2" t="inlineStr"/>
      <c r="D28" s="2" t="inlineStr">
        <is>
          <t>Application of “Galileo High Accuracy Service” on Single-Point Positioning</t>
        </is>
      </c>
      <c r="E28" s="2" t="inlineStr">
        <is>
          <t>Antonio Angrisano; Silvia Ascione; Giovanni Cappello; Ciro Gioia; Salvatore Gaglione</t>
        </is>
      </c>
      <c r="F28" s="2" t="inlineStr">
        <is>
          <t>Salvatore Gaglione</t>
        </is>
      </c>
      <c r="G28" s="2" t="inlineStr">
        <is>
          <t>Journal Article</t>
        </is>
      </c>
      <c r="H28" s="2" t="inlineStr">
        <is>
          <t>Sensors</t>
        </is>
      </c>
      <c r="I28" s="2" t="inlineStr"/>
      <c r="J28" s="2" t="inlineStr"/>
      <c r="K28" s="2" t="inlineStr"/>
      <c r="L28" s="2" t="inlineStr">
        <is>
          <t>23</t>
        </is>
      </c>
      <c r="M28" s="2" t="inlineStr"/>
      <c r="N28" s="2" t="inlineStr"/>
      <c r="O28" s="2" t="inlineStr">
        <is>
          <t>10.3390/s23094223</t>
        </is>
      </c>
      <c r="P28" s="2" t="inlineStr">
        <is>
          <t>10.3390/s23094223</t>
        </is>
      </c>
      <c r="Q28" s="2" t="inlineStr"/>
      <c r="R28" s="2" t="inlineStr"/>
      <c r="S28" s="2" t="inlineStr">
        <is>
          <t>https://www.scopus.com/inward/record.uri?eid=2-s2.0-85159187764&amp;doi=10.3390%2fs23094223&amp;partnerID=40&amp;md5=ae572f6afd7651a924051f8c60baeda9</t>
        </is>
      </c>
      <c r="T28" s="2" t="inlineStr"/>
      <c r="U28" s="2" t="inlineStr">
        <is>
          <t>eng</t>
        </is>
      </c>
      <c r="V28" s="2" t="inlineStr">
        <is>
          <t>drupal</t>
        </is>
      </c>
      <c r="W28" s="2" t="inlineStr">
        <is>
          <t>243</t>
        </is>
      </c>
      <c r="X28" s="2" t="inlineStr">
        <is>
          <t>1</t>
        </is>
      </c>
      <c r="Y28" s="2" t="inlineStr">
        <is>
          <t>yes</t>
        </is>
      </c>
      <c r="Z28" s="2" t="inlineStr"/>
      <c r="AA28" s="2" t="inlineStr"/>
      <c r="AB28" s="2" t="inlineStr">
        <is>
          <t>legacy_drupal_historical</t>
        </is>
      </c>
      <c r="AC28" s="2" t="inlineStr"/>
    </row>
    <row r="29">
      <c r="A29" s="2" t="inlineStr">
        <is>
          <t>drupal-254</t>
        </is>
      </c>
      <c r="B29" s="2" t="inlineStr">
        <is>
          <t>2023</t>
        </is>
      </c>
      <c r="C29" s="2" t="inlineStr"/>
      <c r="D29" s="2" t="inlineStr">
        <is>
          <t>Application of “Galileo High Accuracy Service” on Single-Point Positioning</t>
        </is>
      </c>
      <c r="E29" s="2" t="inlineStr">
        <is>
          <t>Antonio Angrisano; Silvia Ascione; Giovanni Cappello; Ciro Gioia; Salvatore Gaglione</t>
        </is>
      </c>
      <c r="F29" s="2" t="inlineStr">
        <is>
          <t>Salvatore Gaglione</t>
        </is>
      </c>
      <c r="G29" s="2" t="inlineStr">
        <is>
          <t>Journal Article</t>
        </is>
      </c>
      <c r="H29" s="2" t="inlineStr">
        <is>
          <t>Sensors</t>
        </is>
      </c>
      <c r="I29" s="2" t="inlineStr"/>
      <c r="J29" s="2" t="inlineStr"/>
      <c r="K29" s="2" t="inlineStr"/>
      <c r="L29" s="2" t="inlineStr">
        <is>
          <t>23</t>
        </is>
      </c>
      <c r="M29" s="2" t="inlineStr"/>
      <c r="N29" s="2" t="inlineStr"/>
      <c r="O29" s="2" t="inlineStr">
        <is>
          <t>10.3390/s23094223</t>
        </is>
      </c>
      <c r="P29" s="2" t="inlineStr">
        <is>
          <t>10.3390/s23094223</t>
        </is>
      </c>
      <c r="Q29" s="2" t="inlineStr"/>
      <c r="R29" s="2" t="inlineStr"/>
      <c r="S29" s="2" t="inlineStr">
        <is>
          <t>https://www.scopus.com/inward/record.uri?eid=2-s2.0-85159187764&amp;doi=10.3390%2fs23094223&amp;partnerID=40&amp;md5=ae572f6afd7651a924051f8c60baeda9</t>
        </is>
      </c>
      <c r="T29" s="2" t="inlineStr"/>
      <c r="U29" s="2" t="inlineStr">
        <is>
          <t>eng</t>
        </is>
      </c>
      <c r="V29" s="2" t="inlineStr">
        <is>
          <t>drupal</t>
        </is>
      </c>
      <c r="W29" s="2" t="inlineStr">
        <is>
          <t>254</t>
        </is>
      </c>
      <c r="X29" s="2" t="inlineStr">
        <is>
          <t>1</t>
        </is>
      </c>
      <c r="Y29" s="2" t="inlineStr">
        <is>
          <t>yes</t>
        </is>
      </c>
      <c r="Z29" s="2" t="inlineStr"/>
      <c r="AA29" s="2" t="inlineStr"/>
      <c r="AB29" s="2" t="inlineStr">
        <is>
          <t>legacy_drupal_historical</t>
        </is>
      </c>
      <c r="AC29" s="2" t="inlineStr"/>
    </row>
    <row r="30">
      <c r="A30" s="2" t="inlineStr">
        <is>
          <t>drupal-244</t>
        </is>
      </c>
      <c r="B30" s="2" t="inlineStr">
        <is>
          <t>2023</t>
        </is>
      </c>
      <c r="C30" s="2" t="inlineStr"/>
      <c r="D30" s="2" t="inlineStr">
        <is>
          <t>Demonstrating Galileo Has in Single Point Positioning</t>
        </is>
      </c>
      <c r="E30" s="2" t="inlineStr">
        <is>
          <t>Giovanni Cappello; Antonio Angrisano; Silvia Ascione; Silvio Del Pizzo; Ciro Gioia; Gabriele Portelli; Melania Susi; Salvatore Gaglione</t>
        </is>
      </c>
      <c r="F30" s="2" t="inlineStr">
        <is>
          <t>Silvio Del Pizzo; Salvatore Gaglione</t>
        </is>
      </c>
      <c r="G30" s="2" t="inlineStr">
        <is>
          <t>Conference Paper</t>
        </is>
      </c>
      <c r="H30" s="2" t="inlineStr">
        <is>
          <t>2023 IEEE International Workshop on Metrology for Automotive (MetroAutomotive)</t>
        </is>
      </c>
      <c r="I30" s="2" t="inlineStr"/>
      <c r="J30" s="2" t="inlineStr"/>
      <c r="K30" s="2" t="inlineStr"/>
      <c r="L30" s="2" t="inlineStr"/>
      <c r="M30" s="2" t="inlineStr"/>
      <c r="N30" s="2" t="inlineStr"/>
      <c r="O30" s="2" t="inlineStr">
        <is>
          <t>10.1109/MetroAutomotive57488.2023.10219138</t>
        </is>
      </c>
      <c r="P30" s="2" t="inlineStr">
        <is>
          <t>10.1109/MetroAutomotive57488.2023.10219138</t>
        </is>
      </c>
      <c r="Q30" s="2" t="inlineStr"/>
      <c r="R30" s="2" t="inlineStr"/>
      <c r="S30" s="2" t="inlineStr"/>
      <c r="T30" s="2" t="inlineStr"/>
      <c r="U30" s="2" t="inlineStr">
        <is>
          <t>eng</t>
        </is>
      </c>
      <c r="V30" s="2" t="inlineStr">
        <is>
          <t>drupal</t>
        </is>
      </c>
      <c r="W30" s="2" t="inlineStr">
        <is>
          <t>244</t>
        </is>
      </c>
      <c r="X30" s="2" t="inlineStr">
        <is>
          <t>1</t>
        </is>
      </c>
      <c r="Y30" s="2" t="inlineStr">
        <is>
          <t>yes</t>
        </is>
      </c>
      <c r="Z30" s="2" t="inlineStr"/>
      <c r="AA30" s="2" t="inlineStr"/>
      <c r="AB30" s="2" t="inlineStr">
        <is>
          <t>legacy_drupal_historical</t>
        </is>
      </c>
      <c r="AC30" s="2" t="inlineStr"/>
    </row>
    <row r="31">
      <c r="A31" s="2" t="inlineStr">
        <is>
          <t>drupal-250</t>
        </is>
      </c>
      <c r="B31" s="2" t="inlineStr">
        <is>
          <t>2023</t>
        </is>
      </c>
      <c r="C31" s="2" t="inlineStr"/>
      <c r="D31" s="2" t="inlineStr">
        <is>
          <t>Enhancing navigation solution with Galileo HAS</t>
        </is>
      </c>
      <c r="E31" s="2" t="inlineStr">
        <is>
          <t>Gabriele Portelli; Antonio Angrisano; Giovanni Cappello; Silvio Del Pizzo; Ciro Gioia; Salvatore Troisi; Salvatore Gaglione</t>
        </is>
      </c>
      <c r="F31" s="2" t="inlineStr">
        <is>
          <t>Silvio Del Pizzo; Salvatore Troisi; Salvatore Gaglione</t>
        </is>
      </c>
      <c r="G31" s="2" t="inlineStr">
        <is>
          <t>Conference Paper</t>
        </is>
      </c>
      <c r="H31" s="2" t="inlineStr">
        <is>
          <t>2023 IEEE International Workshop on Metrology for the Sea; Learning to Measure Sea Health Parameters, MetroSea 2023 - Proceedings</t>
        </is>
      </c>
      <c r="I31" s="2" t="inlineStr"/>
      <c r="J31" s="2" t="inlineStr"/>
      <c r="K31" s="2" t="inlineStr"/>
      <c r="L31" s="2" t="inlineStr"/>
      <c r="M31" s="2" t="inlineStr"/>
      <c r="N31" s="2" t="inlineStr"/>
      <c r="O31" s="2" t="inlineStr">
        <is>
          <t>10.1109/MetroSea58055.2023.10317475</t>
        </is>
      </c>
      <c r="P31" s="2" t="inlineStr">
        <is>
          <t>10.1109/MetroSea58055.2023.10317475</t>
        </is>
      </c>
      <c r="Q31" s="2" t="inlineStr"/>
      <c r="R31" s="2" t="inlineStr"/>
      <c r="S31" s="2" t="inlineStr">
        <is>
          <t>https://www.scopus.com/inward/record.uri?eid=2-s2.0-85179760632&amp;doi=10.1109%2fMetroSea58055.2023.10317475&amp;partnerID=40&amp;md5=4bdaad2f44110baa3a7f574c5fcca34e</t>
        </is>
      </c>
      <c r="T31" s="2" t="inlineStr"/>
      <c r="U31" s="2" t="inlineStr">
        <is>
          <t>eng</t>
        </is>
      </c>
      <c r="V31" s="2" t="inlineStr">
        <is>
          <t>drupal</t>
        </is>
      </c>
      <c r="W31" s="2" t="inlineStr">
        <is>
          <t>250</t>
        </is>
      </c>
      <c r="X31" s="2" t="inlineStr">
        <is>
          <t>1</t>
        </is>
      </c>
      <c r="Y31" s="2" t="inlineStr">
        <is>
          <t>yes</t>
        </is>
      </c>
      <c r="Z31" s="2" t="inlineStr"/>
      <c r="AA31" s="2" t="inlineStr"/>
      <c r="AB31" s="2" t="inlineStr">
        <is>
          <t>legacy_drupal_historical</t>
        </is>
      </c>
      <c r="AC31" s="2" t="inlineStr"/>
    </row>
    <row r="32">
      <c r="A32" s="2" t="inlineStr">
        <is>
          <t>drupal-245</t>
        </is>
      </c>
      <c r="B32" s="2" t="inlineStr">
        <is>
          <t>2023</t>
        </is>
      </c>
      <c r="C32" s="2" t="inlineStr"/>
      <c r="D32" s="2" t="inlineStr">
        <is>
          <t>Galileo-Based Doppler Shifts and Time Difference Carrier Phase: A Static Case Demonstration</t>
        </is>
      </c>
      <c r="E32" s="2" t="inlineStr">
        <is>
          <t>Ciro Gioia; Antonio Angrisano; Salvatore Gaglione</t>
        </is>
      </c>
      <c r="F32" s="2" t="inlineStr">
        <is>
          <t>Salvatore Gaglione</t>
        </is>
      </c>
      <c r="G32" s="2" t="inlineStr">
        <is>
          <t>Journal Article</t>
        </is>
      </c>
      <c r="H32" s="2" t="inlineStr">
        <is>
          <t>Sensors</t>
        </is>
      </c>
      <c r="I32" s="2" t="inlineStr"/>
      <c r="J32" s="2" t="inlineStr"/>
      <c r="K32" s="2" t="inlineStr"/>
      <c r="L32" s="2" t="inlineStr">
        <is>
          <t>23</t>
        </is>
      </c>
      <c r="M32" s="2" t="inlineStr"/>
      <c r="N32" s="2" t="inlineStr">
        <is>
          <t>6828</t>
        </is>
      </c>
      <c r="O32" s="2" t="inlineStr"/>
      <c r="P32" s="2" t="inlineStr"/>
      <c r="Q32" s="2" t="inlineStr"/>
      <c r="R32" s="2" t="inlineStr"/>
      <c r="S32" s="2" t="inlineStr"/>
      <c r="T32" s="2" t="inlineStr"/>
      <c r="U32" s="2" t="inlineStr">
        <is>
          <t>eng</t>
        </is>
      </c>
      <c r="V32" s="2" t="inlineStr">
        <is>
          <t>drupal</t>
        </is>
      </c>
      <c r="W32" s="2" t="inlineStr">
        <is>
          <t>245</t>
        </is>
      </c>
      <c r="X32" s="2" t="inlineStr">
        <is>
          <t>1</t>
        </is>
      </c>
      <c r="Y32" s="2" t="inlineStr">
        <is>
          <t>yes</t>
        </is>
      </c>
      <c r="Z32" s="2" t="inlineStr">
        <is>
          <t>missing_doi</t>
        </is>
      </c>
      <c r="AA32" s="2" t="inlineStr"/>
      <c r="AB32" s="2" t="inlineStr">
        <is>
          <t>legacy_drupal_historical</t>
        </is>
      </c>
      <c r="AC32" s="2" t="inlineStr"/>
    </row>
    <row r="33">
      <c r="A33" s="2" t="inlineStr">
        <is>
          <t>drupal-255</t>
        </is>
      </c>
      <c r="B33" s="2" t="inlineStr">
        <is>
          <t>2023</t>
        </is>
      </c>
      <c r="C33" s="2" t="inlineStr"/>
      <c r="D33" s="2" t="inlineStr">
        <is>
          <t>Galileo-Based Doppler Shifts and Time Difference Carrier Phase: A Static Case Demonstration</t>
        </is>
      </c>
      <c r="E33" s="2" t="inlineStr">
        <is>
          <t>Ciro Gioia; Antonio Angrisano; Salvatore Gaglione</t>
        </is>
      </c>
      <c r="F33" s="2" t="inlineStr">
        <is>
          <t>Salvatore Gaglione</t>
        </is>
      </c>
      <c r="G33" s="2" t="inlineStr">
        <is>
          <t>Journal Article</t>
        </is>
      </c>
      <c r="H33" s="2" t="inlineStr">
        <is>
          <t>Sensors</t>
        </is>
      </c>
      <c r="I33" s="2" t="inlineStr"/>
      <c r="J33" s="2" t="inlineStr"/>
      <c r="K33" s="2" t="inlineStr"/>
      <c r="L33" s="2" t="inlineStr">
        <is>
          <t>23</t>
        </is>
      </c>
      <c r="M33" s="2" t="inlineStr"/>
      <c r="N33" s="2" t="inlineStr"/>
      <c r="O33" s="2" t="inlineStr">
        <is>
          <t>10.3390/s23156828</t>
        </is>
      </c>
      <c r="P33" s="2" t="inlineStr">
        <is>
          <t>10.3390/s23156828</t>
        </is>
      </c>
      <c r="Q33" s="2" t="inlineStr"/>
      <c r="R33" s="2" t="inlineStr"/>
      <c r="S33" s="2" t="inlineStr">
        <is>
          <t>https://www.scopus.com/inward/record.uri?eid=2-s2.0-85167770866&amp;doi=10.3390%2fs23156828&amp;partnerID=40&amp;md5=d69193446808e4fbeb3782abda0ab86b</t>
        </is>
      </c>
      <c r="T33" s="2" t="inlineStr"/>
      <c r="U33" s="2" t="inlineStr">
        <is>
          <t>eng</t>
        </is>
      </c>
      <c r="V33" s="2" t="inlineStr">
        <is>
          <t>drupal</t>
        </is>
      </c>
      <c r="W33" s="2" t="inlineStr">
        <is>
          <t>255</t>
        </is>
      </c>
      <c r="X33" s="2" t="inlineStr">
        <is>
          <t>1</t>
        </is>
      </c>
      <c r="Y33" s="2" t="inlineStr">
        <is>
          <t>yes</t>
        </is>
      </c>
      <c r="Z33" s="2" t="inlineStr"/>
      <c r="AA33" s="2" t="inlineStr"/>
      <c r="AB33" s="2" t="inlineStr">
        <is>
          <t>legacy_drupal_historical</t>
        </is>
      </c>
      <c r="AC33" s="2" t="inlineStr"/>
    </row>
    <row r="34">
      <c r="A34" s="2" t="inlineStr">
        <is>
          <t>drupal-234</t>
        </is>
      </c>
      <c r="B34" s="2" t="inlineStr">
        <is>
          <t>2023</t>
        </is>
      </c>
      <c r="C34" s="2" t="inlineStr"/>
      <c r="D34" s="2" t="inlineStr">
        <is>
          <t>Hydrodynamic Design of Fixed Hydrofoils for Planing Craft</t>
        </is>
      </c>
      <c r="E34" s="2" t="inlineStr">
        <is>
          <t>Egidio D’Amato; Immacolata Notaro; Vincenzo Piscopo; Antonio Scamardella</t>
        </is>
      </c>
      <c r="F34" s="2" t="inlineStr">
        <is>
          <t>Vincenzo Piscopo; Antonio Scamardella</t>
        </is>
      </c>
      <c r="G34" s="2" t="inlineStr">
        <is>
          <t>Journal Article</t>
        </is>
      </c>
      <c r="H34" s="2" t="inlineStr">
        <is>
          <t>Journal of Marine Science and Engineering</t>
        </is>
      </c>
      <c r="I34" s="2" t="inlineStr"/>
      <c r="J34" s="2" t="inlineStr"/>
      <c r="K34" s="2" t="inlineStr"/>
      <c r="L34" s="2" t="inlineStr">
        <is>
          <t>11</t>
        </is>
      </c>
      <c r="M34" s="2" t="inlineStr"/>
      <c r="N34" s="2" t="inlineStr"/>
      <c r="O34" s="2" t="inlineStr">
        <is>
          <t>10.3390/jmse11020246</t>
        </is>
      </c>
      <c r="P34" s="2" t="inlineStr">
        <is>
          <t>10.3390/jmse11020246</t>
        </is>
      </c>
      <c r="Q34" s="2" t="inlineStr"/>
      <c r="R34" s="2" t="inlineStr"/>
      <c r="S34" s="2" t="inlineStr">
        <is>
          <t>https://www.scopus.com/inward/record.uri?eid=2-s2.0-85149140611&amp;doi=10.3390%2fjmse11020246&amp;partnerID=40&amp;md5=2cd47d37808972072d2e4a35a528c2ab</t>
        </is>
      </c>
      <c r="T34" s="2" t="inlineStr"/>
      <c r="U34" s="2" t="inlineStr">
        <is>
          <t>eng</t>
        </is>
      </c>
      <c r="V34" s="2" t="inlineStr">
        <is>
          <t>drupal</t>
        </is>
      </c>
      <c r="W34" s="2" t="inlineStr">
        <is>
          <t>234</t>
        </is>
      </c>
      <c r="X34" s="2" t="inlineStr">
        <is>
          <t>1</t>
        </is>
      </c>
      <c r="Y34" s="2" t="inlineStr">
        <is>
          <t>yes</t>
        </is>
      </c>
      <c r="Z34" s="2" t="inlineStr"/>
      <c r="AA34" s="2" t="inlineStr"/>
      <c r="AB34" s="2" t="inlineStr">
        <is>
          <t>legacy_drupal_historical</t>
        </is>
      </c>
      <c r="AC34" s="2" t="inlineStr"/>
    </row>
    <row r="35">
      <c r="A35" s="2" t="inlineStr">
        <is>
          <t>drupal-252</t>
        </is>
      </c>
      <c r="B35" s="2" t="inlineStr">
        <is>
          <t>2023</t>
        </is>
      </c>
      <c r="C35" s="2" t="inlineStr"/>
      <c r="D35" s="2" t="inlineStr">
        <is>
          <t>Incidence of parametrized methods for spectral analysis of Ship Motion</t>
        </is>
      </c>
      <c r="E35" s="2" t="inlineStr">
        <is>
          <t>Silvia Ascione; Salvatore Gaglione; Vincenzo Piscopo; Antonio Scamardella</t>
        </is>
      </c>
      <c r="F35" s="2" t="inlineStr">
        <is>
          <t>Salvatore Gaglione; Vincenzo Piscopo; Antonio Scamardella</t>
        </is>
      </c>
      <c r="G35" s="2" t="inlineStr">
        <is>
          <t>Conference Paper</t>
        </is>
      </c>
      <c r="H35" s="2" t="inlineStr">
        <is>
          <t>2023 IEEE International Workshop on Metrology for the Sea; Learning to Measure Sea Health Parameters, MetroSea 2023 - Proceedings</t>
        </is>
      </c>
      <c r="I35" s="2" t="inlineStr"/>
      <c r="J35" s="2" t="inlineStr"/>
      <c r="K35" s="2" t="inlineStr"/>
      <c r="L35" s="2" t="inlineStr"/>
      <c r="M35" s="2" t="inlineStr"/>
      <c r="N35" s="2" t="inlineStr"/>
      <c r="O35" s="2" t="inlineStr">
        <is>
          <t>10.1109/MetroSea58055.2023.10317389</t>
        </is>
      </c>
      <c r="P35" s="2" t="inlineStr">
        <is>
          <t>10.1109/MetroSea58055.2023.10317389</t>
        </is>
      </c>
      <c r="Q35" s="2" t="inlineStr"/>
      <c r="R35" s="2" t="inlineStr"/>
      <c r="S35" s="2" t="inlineStr">
        <is>
          <t>https://www.scopus.com/inward/record.uri?eid=2-s2.0-85179753312&amp;doi=10.1109%2fMetroSea58055.2023.10317389&amp;partnerID=40&amp;md5=18038ff73c03b5a7fba74943e87e7bb8</t>
        </is>
      </c>
      <c r="T35" s="2" t="inlineStr"/>
      <c r="U35" s="2" t="inlineStr">
        <is>
          <t>eng</t>
        </is>
      </c>
      <c r="V35" s="2" t="inlineStr">
        <is>
          <t>drupal</t>
        </is>
      </c>
      <c r="W35" s="2" t="inlineStr">
        <is>
          <t>252</t>
        </is>
      </c>
      <c r="X35" s="2" t="inlineStr">
        <is>
          <t>1</t>
        </is>
      </c>
      <c r="Y35" s="2" t="inlineStr">
        <is>
          <t>yes</t>
        </is>
      </c>
      <c r="Z35" s="2" t="inlineStr"/>
      <c r="AA35" s="2" t="inlineStr"/>
      <c r="AB35" s="2" t="inlineStr">
        <is>
          <t>legacy_drupal_historical</t>
        </is>
      </c>
      <c r="AC35" s="2" t="inlineStr"/>
    </row>
    <row r="36">
      <c r="A36" s="2" t="inlineStr">
        <is>
          <t>drupal-238</t>
        </is>
      </c>
      <c r="B36" s="2" t="inlineStr">
        <is>
          <t>2023</t>
        </is>
      </c>
      <c r="C36" s="2" t="inlineStr"/>
      <c r="D36" s="2" t="inlineStr">
        <is>
          <t>Motions Assessment Using a Time Domain Approach for a Research Ship in Antarctic Waters</t>
        </is>
      </c>
      <c r="E36" s="2" t="inlineStr">
        <is>
          <t>Silvia Pennino; Antonio Scamardella</t>
        </is>
      </c>
      <c r="F36" s="2" t="inlineStr">
        <is>
          <t>Silvia Pennino; Antonio Scamardella</t>
        </is>
      </c>
      <c r="G36" s="2" t="inlineStr">
        <is>
          <t>Journal Article</t>
        </is>
      </c>
      <c r="H36" s="2" t="inlineStr">
        <is>
          <t>Journal of Marine Science and Engineering</t>
        </is>
      </c>
      <c r="I36" s="2" t="inlineStr"/>
      <c r="J36" s="2" t="inlineStr"/>
      <c r="K36" s="2" t="inlineStr"/>
      <c r="L36" s="2" t="inlineStr">
        <is>
          <t>11</t>
        </is>
      </c>
      <c r="M36" s="2" t="inlineStr"/>
      <c r="N36" s="2" t="inlineStr"/>
      <c r="O36" s="2" t="inlineStr">
        <is>
          <t>10.3390/jmse11030558</t>
        </is>
      </c>
      <c r="P36" s="2" t="inlineStr">
        <is>
          <t>10.3390/jmse11030558</t>
        </is>
      </c>
      <c r="Q36" s="2" t="inlineStr"/>
      <c r="R36" s="2" t="inlineStr"/>
      <c r="S36" s="2" t="inlineStr">
        <is>
          <t>https://www.scopus.com/inward/record.uri?eid=2-s2.0-85151472339&amp;doi=10.3390%2fjmse11030558&amp;partnerID=40&amp;md5=c0a42499d792671ff743c0f68da53828</t>
        </is>
      </c>
      <c r="T36" s="2" t="inlineStr"/>
      <c r="U36" s="2" t="inlineStr">
        <is>
          <t>eng</t>
        </is>
      </c>
      <c r="V36" s="2" t="inlineStr">
        <is>
          <t>drupal</t>
        </is>
      </c>
      <c r="W36" s="2" t="inlineStr">
        <is>
          <t>238</t>
        </is>
      </c>
      <c r="X36" s="2" t="inlineStr">
        <is>
          <t>1</t>
        </is>
      </c>
      <c r="Y36" s="2" t="inlineStr">
        <is>
          <t>yes</t>
        </is>
      </c>
      <c r="Z36" s="2" t="inlineStr"/>
      <c r="AA36" s="2" t="inlineStr"/>
      <c r="AB36" s="2" t="inlineStr">
        <is>
          <t>legacy_drupal_historical</t>
        </is>
      </c>
      <c r="AC36" s="2" t="inlineStr"/>
    </row>
    <row r="37">
      <c r="A37" s="2" t="inlineStr">
        <is>
          <t>drupal-239</t>
        </is>
      </c>
      <c r="B37" s="2" t="inlineStr">
        <is>
          <t>2023</t>
        </is>
      </c>
      <c r="C37" s="2" t="inlineStr"/>
      <c r="D37" s="2" t="inlineStr">
        <is>
          <t>Neustrelitz Total Electron Content Model for Galileo Performance: A Position Domain Analysis</t>
        </is>
      </c>
      <c r="E37" s="2" t="inlineStr">
        <is>
          <t>Ciro Gioia; Antonio Angrisano; Salvatore Gaglione</t>
        </is>
      </c>
      <c r="F37" s="2" t="inlineStr">
        <is>
          <t>Salvatore Gaglione</t>
        </is>
      </c>
      <c r="G37" s="2" t="inlineStr">
        <is>
          <t>Journal Article</t>
        </is>
      </c>
      <c r="H37" s="2" t="inlineStr">
        <is>
          <t>Sensors (Basel, Switzerland)</t>
        </is>
      </c>
      <c r="I37" s="2" t="inlineStr"/>
      <c r="J37" s="2" t="inlineStr"/>
      <c r="K37" s="2" t="inlineStr"/>
      <c r="L37" s="2" t="inlineStr">
        <is>
          <t>23</t>
        </is>
      </c>
      <c r="M37" s="2" t="inlineStr"/>
      <c r="N37" s="2" t="inlineStr"/>
      <c r="O37" s="2" t="inlineStr">
        <is>
          <t>10.3390/s23073766</t>
        </is>
      </c>
      <c r="P37" s="2" t="inlineStr">
        <is>
          <t>10.3390/s23073766</t>
        </is>
      </c>
      <c r="Q37" s="2" t="inlineStr"/>
      <c r="R37" s="2" t="inlineStr"/>
      <c r="S37" s="2" t="inlineStr">
        <is>
          <t>https://www.scopus.com/inward/record.uri?eid=2-s2.0-85152305860&amp;doi=10.3390%2fs23073766&amp;partnerID=40&amp;md5=fb7b82a05b8f07743fd2687f5cf0732c</t>
        </is>
      </c>
      <c r="T37" s="2" t="inlineStr"/>
      <c r="U37" s="2" t="inlineStr">
        <is>
          <t>eng</t>
        </is>
      </c>
      <c r="V37" s="2" t="inlineStr">
        <is>
          <t>drupal</t>
        </is>
      </c>
      <c r="W37" s="2" t="inlineStr">
        <is>
          <t>239</t>
        </is>
      </c>
      <c r="X37" s="2" t="inlineStr">
        <is>
          <t>1</t>
        </is>
      </c>
      <c r="Y37" s="2" t="inlineStr">
        <is>
          <t>yes</t>
        </is>
      </c>
      <c r="Z37" s="2" t="inlineStr"/>
      <c r="AA37" s="2" t="inlineStr"/>
      <c r="AB37" s="2" t="inlineStr">
        <is>
          <t>legacy_drupal_historical</t>
        </is>
      </c>
      <c r="AC37" s="2" t="inlineStr"/>
    </row>
    <row r="38">
      <c r="A38" s="2" t="inlineStr">
        <is>
          <t>drupal-253</t>
        </is>
      </c>
      <c r="B38" s="2" t="inlineStr">
        <is>
          <t>2023</t>
        </is>
      </c>
      <c r="C38" s="2" t="inlineStr"/>
      <c r="D38" s="2" t="inlineStr">
        <is>
          <t>Neustrelitz Total Electron Content Model for Galileo Performance: A Position Domain Analysis</t>
        </is>
      </c>
      <c r="E38" s="2" t="inlineStr">
        <is>
          <t>Ciro Gioia; Antonio Angrisano; Salvatore Gaglione</t>
        </is>
      </c>
      <c r="F38" s="2" t="inlineStr">
        <is>
          <t>Salvatore Gaglione</t>
        </is>
      </c>
      <c r="G38" s="2" t="inlineStr">
        <is>
          <t>Journal Article</t>
        </is>
      </c>
      <c r="H38" s="2" t="inlineStr">
        <is>
          <t>Sensors</t>
        </is>
      </c>
      <c r="I38" s="2" t="inlineStr"/>
      <c r="J38" s="2" t="inlineStr"/>
      <c r="K38" s="2" t="inlineStr"/>
      <c r="L38" s="2" t="inlineStr">
        <is>
          <t>23</t>
        </is>
      </c>
      <c r="M38" s="2" t="inlineStr"/>
      <c r="N38" s="2" t="inlineStr"/>
      <c r="O38" s="2" t="inlineStr">
        <is>
          <t>10.3390/s23073766</t>
        </is>
      </c>
      <c r="P38" s="2" t="inlineStr">
        <is>
          <t>10.3390/s23073766</t>
        </is>
      </c>
      <c r="Q38" s="2" t="inlineStr"/>
      <c r="R38" s="2" t="inlineStr"/>
      <c r="S38" s="2" t="inlineStr">
        <is>
          <t>https://www.scopus.com/inward/record.uri?eid=2-s2.0-85152305860&amp;doi=10.3390%2fs23073766&amp;partnerID=40&amp;md5=fb7b82a05b8f07743fd2687f5cf0732c</t>
        </is>
      </c>
      <c r="T38" s="2" t="inlineStr"/>
      <c r="U38" s="2" t="inlineStr">
        <is>
          <t>eng</t>
        </is>
      </c>
      <c r="V38" s="2" t="inlineStr">
        <is>
          <t>drupal</t>
        </is>
      </c>
      <c r="W38" s="2" t="inlineStr">
        <is>
          <t>253</t>
        </is>
      </c>
      <c r="X38" s="2" t="inlineStr">
        <is>
          <t>1</t>
        </is>
      </c>
      <c r="Y38" s="2" t="inlineStr">
        <is>
          <t>yes</t>
        </is>
      </c>
      <c r="Z38" s="2" t="inlineStr"/>
      <c r="AA38" s="2" t="inlineStr"/>
      <c r="AB38" s="2" t="inlineStr">
        <is>
          <t>legacy_drupal_historical</t>
        </is>
      </c>
      <c r="AC38" s="2" t="inlineStr"/>
    </row>
    <row r="39">
      <c r="A39" s="2" t="inlineStr">
        <is>
          <t>drupal-246</t>
        </is>
      </c>
      <c r="B39" s="2" t="inlineStr">
        <is>
          <t>2023</t>
        </is>
      </c>
      <c r="C39" s="2" t="inlineStr"/>
      <c r="D39" s="2" t="inlineStr">
        <is>
          <t>Reconstructing anthropic coastal landscape of Campi Flegrei volcanic area (Southern Italy) during the Roman period from multi-technique surveys</t>
        </is>
      </c>
      <c r="E39" s="2" t="inlineStr">
        <is>
          <t>Gaia Mattei; Lucio Amato; Claudia Caporizzo; Aldo Cinque; Gerardo Pappone; Alessia Sorrentino; Paolo Stocchi; Salvatore Troisi; Pietro PC Aucelli</t>
        </is>
      </c>
      <c r="F39" s="2" t="inlineStr">
        <is>
          <t>Salvatore Troisi</t>
        </is>
      </c>
      <c r="G39" s="2" t="inlineStr">
        <is>
          <t>Journal Article</t>
        </is>
      </c>
      <c r="H39" s="2" t="inlineStr">
        <is>
          <t>Journal of Maps</t>
        </is>
      </c>
      <c r="I39" s="2" t="inlineStr"/>
      <c r="J39" s="2" t="inlineStr"/>
      <c r="K39" s="2" t="inlineStr"/>
      <c r="L39" s="2" t="inlineStr"/>
      <c r="M39" s="2" t="inlineStr"/>
      <c r="N39" s="2" t="inlineStr">
        <is>
          <t>1–14</t>
        </is>
      </c>
      <c r="O39" s="2" t="inlineStr"/>
      <c r="P39" s="2" t="inlineStr"/>
      <c r="Q39" s="2" t="inlineStr"/>
      <c r="R39" s="2" t="inlineStr"/>
      <c r="S39" s="2" t="inlineStr"/>
      <c r="T39" s="2" t="inlineStr"/>
      <c r="U39" s="2" t="inlineStr">
        <is>
          <t>eng</t>
        </is>
      </c>
      <c r="V39" s="2" t="inlineStr">
        <is>
          <t>drupal</t>
        </is>
      </c>
      <c r="W39" s="2" t="inlineStr">
        <is>
          <t>246</t>
        </is>
      </c>
      <c r="X39" s="2" t="inlineStr">
        <is>
          <t>1</t>
        </is>
      </c>
      <c r="Y39" s="2" t="inlineStr">
        <is>
          <t>yes</t>
        </is>
      </c>
      <c r="Z39" s="2" t="inlineStr">
        <is>
          <t>ambiguous_author:Aucelli, Pietro PC; missing_doi</t>
        </is>
      </c>
      <c r="AA39" s="2" t="inlineStr"/>
      <c r="AB39" s="2" t="inlineStr">
        <is>
          <t>legacy_drupal_historical</t>
        </is>
      </c>
      <c r="AC39" s="2" t="inlineStr"/>
    </row>
    <row r="40">
      <c r="A40" s="2" t="inlineStr">
        <is>
          <t>drupal-251</t>
        </is>
      </c>
      <c r="B40" s="2" t="inlineStr">
        <is>
          <t>2023</t>
        </is>
      </c>
      <c r="C40" s="2" t="inlineStr"/>
      <c r="D40" s="2" t="inlineStr">
        <is>
          <t>Reliability of Smartphone Positioning in Harsh Environment †</t>
        </is>
      </c>
      <c r="E40" s="2" t="inlineStr">
        <is>
          <t>Giovanni Cappello; Ciro Gioia; Antonio Angrisano; Silvio Del Pizzo; Gabriele Portelli; Salvatore Gaglione</t>
        </is>
      </c>
      <c r="F40" s="2" t="inlineStr">
        <is>
          <t>Silvio Del Pizzo; Salvatore Gaglione</t>
        </is>
      </c>
      <c r="G40" s="2" t="inlineStr">
        <is>
          <t>Journal Article</t>
        </is>
      </c>
      <c r="H40" s="2" t="inlineStr">
        <is>
          <t>Engineering Proceedings</t>
        </is>
      </c>
      <c r="I40" s="2" t="inlineStr"/>
      <c r="J40" s="2" t="inlineStr"/>
      <c r="K40" s="2" t="inlineStr"/>
      <c r="L40" s="2" t="inlineStr">
        <is>
          <t>54</t>
        </is>
      </c>
      <c r="M40" s="2" t="inlineStr"/>
      <c r="N40" s="2" t="inlineStr"/>
      <c r="O40" s="2" t="inlineStr">
        <is>
          <t>10.3390/ENC2023-15429</t>
        </is>
      </c>
      <c r="P40" s="2" t="inlineStr">
        <is>
          <t>10.3390/ENC2023-15429</t>
        </is>
      </c>
      <c r="Q40" s="2" t="inlineStr"/>
      <c r="R40" s="2" t="inlineStr"/>
      <c r="S40" s="2" t="inlineStr">
        <is>
          <t>https://www.scopus.com/inward/record.uri?eid=2-s2.0-85186439748&amp;doi=10.3390%2fENC2023-15429&amp;partnerID=40&amp;md5=2140d47215ca7c12bf2c156d766cae6c</t>
        </is>
      </c>
      <c r="T40" s="2" t="inlineStr"/>
      <c r="U40" s="2" t="inlineStr">
        <is>
          <t>eng</t>
        </is>
      </c>
      <c r="V40" s="2" t="inlineStr">
        <is>
          <t>drupal</t>
        </is>
      </c>
      <c r="W40" s="2" t="inlineStr">
        <is>
          <t>251</t>
        </is>
      </c>
      <c r="X40" s="2" t="inlineStr">
        <is>
          <t>1</t>
        </is>
      </c>
      <c r="Y40" s="2" t="inlineStr">
        <is>
          <t>yes</t>
        </is>
      </c>
      <c r="Z40" s="2" t="inlineStr"/>
      <c r="AA40" s="2" t="inlineStr"/>
      <c r="AB40" s="2" t="inlineStr">
        <is>
          <t>legacy_drupal_historical</t>
        </is>
      </c>
      <c r="AC40" s="2" t="inlineStr"/>
    </row>
    <row r="41">
      <c r="A41" s="2" t="inlineStr">
        <is>
          <t>drupal-233</t>
        </is>
      </c>
      <c r="B41" s="2" t="inlineStr">
        <is>
          <t>2023</t>
        </is>
      </c>
      <c r="C41" s="2" t="inlineStr"/>
      <c r="D41" s="2" t="inlineStr">
        <is>
          <t>Ultimate strength assessment of simply supported pitted platings: A new stochastic approach based on Monte Carlo simulation</t>
        </is>
      </c>
      <c r="E41" s="2" t="inlineStr">
        <is>
          <t>Vincenzo Piscopo; Antonio Scamardella</t>
        </is>
      </c>
      <c r="F41" s="2" t="inlineStr">
        <is>
          <t>Vincenzo Piscopo; Antonio Scamardella</t>
        </is>
      </c>
      <c r="G41" s="2" t="inlineStr">
        <is>
          <t>Journal Article</t>
        </is>
      </c>
      <c r="H41" s="2" t="inlineStr">
        <is>
          <t>Marine Structures</t>
        </is>
      </c>
      <c r="I41" s="2" t="inlineStr"/>
      <c r="J41" s="2" t="inlineStr"/>
      <c r="K41" s="2" t="inlineStr"/>
      <c r="L41" s="2" t="inlineStr">
        <is>
          <t>87</t>
        </is>
      </c>
      <c r="M41" s="2" t="inlineStr"/>
      <c r="N41" s="2" t="inlineStr"/>
      <c r="O41" s="2" t="inlineStr">
        <is>
          <t>10.1016/j.marstruc.2022.103312</t>
        </is>
      </c>
      <c r="P41" s="2" t="inlineStr">
        <is>
          <t>10.1016/j.marstruc.2022.103312</t>
        </is>
      </c>
      <c r="Q41" s="2" t="inlineStr"/>
      <c r="R41" s="2" t="inlineStr"/>
      <c r="S41" s="2" t="inlineStr">
        <is>
          <t>https://www.scopus.com/inward/record.uri?eid=2-s2.0-85140736245&amp;doi=10.1016%2fj.marstruc.2022.103312&amp;partnerID=40&amp;md5=d5db091d4192716c279eaf3b3317fbe1</t>
        </is>
      </c>
      <c r="T41" s="2" t="inlineStr"/>
      <c r="U41" s="2" t="inlineStr">
        <is>
          <t>eng</t>
        </is>
      </c>
      <c r="V41" s="2" t="inlineStr">
        <is>
          <t>drupal</t>
        </is>
      </c>
      <c r="W41" s="2" t="inlineStr">
        <is>
          <t>233</t>
        </is>
      </c>
      <c r="X41" s="2" t="inlineStr">
        <is>
          <t>1</t>
        </is>
      </c>
      <c r="Y41" s="2" t="inlineStr">
        <is>
          <t>yes</t>
        </is>
      </c>
      <c r="Z41" s="2" t="inlineStr"/>
      <c r="AA41" s="2" t="inlineStr"/>
      <c r="AB41" s="2" t="inlineStr">
        <is>
          <t>legacy_drupal_historical</t>
        </is>
      </c>
      <c r="AC41" s="2" t="inlineStr"/>
    </row>
    <row r="42">
      <c r="A42" s="2" t="inlineStr">
        <is>
          <t>drupal-237</t>
        </is>
      </c>
      <c r="B42" s="2" t="inlineStr">
        <is>
          <t>2022</t>
        </is>
      </c>
      <c r="C42" s="2" t="inlineStr"/>
      <c r="D42" s="2" t="inlineStr">
        <is>
          <t>A flexible and swift approach for 3D image–based survey in a cave</t>
        </is>
      </c>
      <c r="E42" s="2" t="inlineStr">
        <is>
          <t>L. Alessandri; Valerio Baiocchi; Silvio Del Pizzo; Fabiana Di Ciaccio; Matteo Onori; M.F. Rolfo; Salvatore Troisi</t>
        </is>
      </c>
      <c r="F42" s="2" t="inlineStr">
        <is>
          <t>Silvio Del Pizzo; Salvatore Troisi</t>
        </is>
      </c>
      <c r="G42" s="2" t="inlineStr">
        <is>
          <t>Journal Article</t>
        </is>
      </c>
      <c r="H42" s="2" t="inlineStr">
        <is>
          <t>Applied Geomatics</t>
        </is>
      </c>
      <c r="I42" s="2" t="inlineStr"/>
      <c r="J42" s="2" t="inlineStr"/>
      <c r="K42" s="2" t="inlineStr"/>
      <c r="L42" s="2" t="inlineStr">
        <is>
          <t>14</t>
        </is>
      </c>
      <c r="M42" s="2" t="inlineStr"/>
      <c r="N42" s="2" t="inlineStr">
        <is>
          <t>5 – 19</t>
        </is>
      </c>
      <c r="O42" s="2" t="inlineStr">
        <is>
          <t>10.1007/s12518-020-00309-4</t>
        </is>
      </c>
      <c r="P42" s="2" t="inlineStr">
        <is>
          <t>10.1007/s12518-020-00309-4</t>
        </is>
      </c>
      <c r="Q42" s="2" t="inlineStr"/>
      <c r="R42" s="2" t="inlineStr"/>
      <c r="S42" s="2" t="inlineStr">
        <is>
          <t>https://www.scopus.com/inward/record.uri?eid=2-s2.0-85084596892&amp;doi=10.1007%2fs12518-020-00309-4&amp;partnerID=40&amp;md5=b4e5eb343d5ab1cdd990f9f70a0466fd</t>
        </is>
      </c>
      <c r="T42" s="2" t="inlineStr"/>
      <c r="U42" s="2" t="inlineStr">
        <is>
          <t>eng</t>
        </is>
      </c>
      <c r="V42" s="2" t="inlineStr">
        <is>
          <t>drupal</t>
        </is>
      </c>
      <c r="W42" s="2" t="inlineStr">
        <is>
          <t>237</t>
        </is>
      </c>
      <c r="X42" s="2" t="inlineStr">
        <is>
          <t>1</t>
        </is>
      </c>
      <c r="Y42" s="2" t="inlineStr">
        <is>
          <t>yes</t>
        </is>
      </c>
      <c r="Z42" s="2" t="inlineStr"/>
      <c r="AA42" s="2" t="inlineStr"/>
      <c r="AB42" s="2" t="inlineStr">
        <is>
          <t>legacy_drupal_historical</t>
        </is>
      </c>
      <c r="AC42" s="2" t="inlineStr"/>
    </row>
    <row r="43">
      <c r="A43" s="2" t="inlineStr">
        <is>
          <t>drupal-229</t>
        </is>
      </c>
      <c r="B43" s="2" t="inlineStr">
        <is>
          <t>2022</t>
        </is>
      </c>
      <c r="C43" s="2" t="inlineStr"/>
      <c r="D43" s="2" t="inlineStr">
        <is>
          <t>A New Orbiting Deployable System for Small Satellite Observations for Ecology and Earth Observation</t>
        </is>
      </c>
      <c r="E43" s="2" t="inlineStr">
        <is>
          <t>Elena Martellato; Alice Maria Piccirillo; Giampaolo Ferraioli; Alessandra Rotundi; Vincenzo Della Corte; Pasquale Palumbo; Emanuele Alcaras; Luca Appolloni; Giuseppe Aulicino; Ivano Bertini; Vincenzo Capozzi; Elena Catucci; Zelia Dionnet; Pasquale Di Palma; Flavio Esposito; Emanuele Ferrentino; Anna Innac; Laura Inno; Silvia Pennino; Simona Saviano; Giuseppina Tirimberio; Stefania Campopiano; Elena Chianese; Pier Paolo Franzese; Giannetta Fusco; Salvatore Gaglione; Agostino Iadicicco; Ferdinando Nunziata; Claudio Parente; Vincenzo Piscopo; Angelo Riccio; Giovanni Fulvio Russo; Enrico Zambianchi</t>
        </is>
      </c>
      <c r="F43" s="2" t="inlineStr">
        <is>
          <t>Giampaolo Ferraioli; Silvia Pennino; Salvatore Gaglione; Vincenzo Piscopo</t>
        </is>
      </c>
      <c r="G43" s="2" t="inlineStr">
        <is>
          <t>Journal Article</t>
        </is>
      </c>
      <c r="H43" s="2" t="inlineStr">
        <is>
          <t>Remote Sensing</t>
        </is>
      </c>
      <c r="I43" s="2" t="inlineStr"/>
      <c r="J43" s="2" t="inlineStr"/>
      <c r="K43" s="2" t="inlineStr"/>
      <c r="L43" s="2" t="inlineStr">
        <is>
          <t>14</t>
        </is>
      </c>
      <c r="M43" s="2" t="inlineStr"/>
      <c r="N43" s="2" t="inlineStr"/>
      <c r="O43" s="2" t="inlineStr">
        <is>
          <t>10.3390/rs14092066</t>
        </is>
      </c>
      <c r="P43" s="2" t="inlineStr">
        <is>
          <t>10.3390/rs14092066</t>
        </is>
      </c>
      <c r="Q43" s="2" t="inlineStr"/>
      <c r="R43" s="2" t="inlineStr"/>
      <c r="S43" s="2" t="inlineStr">
        <is>
          <t>https://www.scopus.com/inward/record.uri?eid=2-s2.0-85130569568&amp;doi=10.3390%2frs14092066&amp;partnerID=40&amp;md5=c402d749c1d839052ece462d7d7c81f0</t>
        </is>
      </c>
      <c r="T43" s="2" t="inlineStr"/>
      <c r="U43" s="2" t="inlineStr">
        <is>
          <t>eng</t>
        </is>
      </c>
      <c r="V43" s="2" t="inlineStr">
        <is>
          <t>drupal</t>
        </is>
      </c>
      <c r="W43" s="2" t="inlineStr">
        <is>
          <t>229</t>
        </is>
      </c>
      <c r="X43" s="2" t="inlineStr">
        <is>
          <t>1</t>
        </is>
      </c>
      <c r="Y43" s="2" t="inlineStr">
        <is>
          <t>yes</t>
        </is>
      </c>
      <c r="Z43" s="2" t="inlineStr"/>
      <c r="AA43" s="2" t="inlineStr"/>
      <c r="AB43" s="2" t="inlineStr">
        <is>
          <t>legacy_drupal_historical</t>
        </is>
      </c>
      <c r="AC43" s="2" t="inlineStr"/>
    </row>
    <row r="44">
      <c r="A44" s="2" t="inlineStr">
        <is>
          <t>drupal-227</t>
        </is>
      </c>
      <c r="B44" s="2" t="inlineStr">
        <is>
          <t>2022</t>
        </is>
      </c>
      <c r="C44" s="2" t="inlineStr"/>
      <c r="D44" s="2" t="inlineStr">
        <is>
          <t>DOP analysis using AIS R-MODE stations combined with GNSS satellites into the Venice Lagoon</t>
        </is>
      </c>
      <c r="E44" s="2" t="inlineStr">
        <is>
          <t>Antonio Angrisano; Silvia Ascione; Giovanni Cappello; Silvio Del Pizzo; Sebastiano Messina; Salvatore Gaglione</t>
        </is>
      </c>
      <c r="F44" s="2" t="inlineStr">
        <is>
          <t>Silvio Del Pizzo; Salvatore Gaglione</t>
        </is>
      </c>
      <c r="G44" s="2" t="inlineStr">
        <is>
          <t>Conference Paper</t>
        </is>
      </c>
      <c r="H44" s="2" t="inlineStr">
        <is>
          <t>2022 IEEE International Workshop on Metrology for the Sea; Learning to Measure Sea Health Parameters, MetroSea 2022 - Proceedings</t>
        </is>
      </c>
      <c r="I44" s="2" t="inlineStr"/>
      <c r="J44" s="2" t="inlineStr"/>
      <c r="K44" s="2" t="inlineStr"/>
      <c r="L44" s="2" t="inlineStr"/>
      <c r="M44" s="2" t="inlineStr"/>
      <c r="N44" s="2" t="inlineStr"/>
      <c r="O44" s="2" t="inlineStr">
        <is>
          <t>10.1109/MetroSea55331.2022.9950793</t>
        </is>
      </c>
      <c r="P44" s="2" t="inlineStr">
        <is>
          <t>10.1109/MetroSea55331.2022.9950793</t>
        </is>
      </c>
      <c r="Q44" s="2" t="inlineStr"/>
      <c r="R44" s="2" t="inlineStr"/>
      <c r="S44" s="2" t="inlineStr">
        <is>
          <t>https://www.scopus.com/inward/record.uri?eid=2-s2.0-85143665232&amp;doi=10.1109%2fMetroSea55331.2022.9950793&amp;partnerID=40&amp;md5=73ad612f4cb4edc5ec1f0c12ca474447</t>
        </is>
      </c>
      <c r="T44" s="2" t="inlineStr"/>
      <c r="U44" s="2" t="inlineStr">
        <is>
          <t>eng</t>
        </is>
      </c>
      <c r="V44" s="2" t="inlineStr">
        <is>
          <t>drupal</t>
        </is>
      </c>
      <c r="W44" s="2" t="inlineStr">
        <is>
          <t>227</t>
        </is>
      </c>
      <c r="X44" s="2" t="inlineStr">
        <is>
          <t>1</t>
        </is>
      </c>
      <c r="Y44" s="2" t="inlineStr">
        <is>
          <t>yes</t>
        </is>
      </c>
      <c r="Z44" s="2" t="inlineStr"/>
      <c r="AA44" s="2" t="inlineStr"/>
      <c r="AB44" s="2" t="inlineStr">
        <is>
          <t>legacy_drupal_historical</t>
        </is>
      </c>
      <c r="AC44" s="2" t="inlineStr"/>
    </row>
    <row r="45">
      <c r="A45" s="2" t="inlineStr">
        <is>
          <t>drupal-228</t>
        </is>
      </c>
      <c r="B45" s="2" t="inlineStr">
        <is>
          <t>2022</t>
        </is>
      </c>
      <c r="C45" s="2" t="inlineStr"/>
      <c r="D45" s="2" t="inlineStr">
        <is>
          <t>Enhanced geomatic techniques for the deformation survey of ship platings in a real environment</t>
        </is>
      </c>
      <c r="E45" s="2" t="inlineStr">
        <is>
          <t>Silvia Ascione; Silvio Del Pizzo; Salvatore Gaglione; Vincenzo Piscopo; Salvatore Troisi</t>
        </is>
      </c>
      <c r="F45" s="2" t="inlineStr">
        <is>
          <t>Silvio Del Pizzo; Salvatore Gaglione; Vincenzo Piscopo; Salvatore Troisi</t>
        </is>
      </c>
      <c r="G45" s="2" t="inlineStr">
        <is>
          <t>Conference Paper</t>
        </is>
      </c>
      <c r="H45" s="2" t="inlineStr">
        <is>
          <t>2022 IEEE International Workshop on Metrology for the Sea; Learning to Measure Sea Health Parameters, MetroSea 2022 - Proceedings</t>
        </is>
      </c>
      <c r="I45" s="2" t="inlineStr"/>
      <c r="J45" s="2" t="inlineStr"/>
      <c r="K45" s="2" t="inlineStr"/>
      <c r="L45" s="2" t="inlineStr"/>
      <c r="M45" s="2" t="inlineStr"/>
      <c r="N45" s="2" t="inlineStr"/>
      <c r="O45" s="2" t="inlineStr">
        <is>
          <t>10.1109/MetroSea55331.2022.9950828</t>
        </is>
      </c>
      <c r="P45" s="2" t="inlineStr">
        <is>
          <t>10.1109/MetroSea55331.2022.9950828</t>
        </is>
      </c>
      <c r="Q45" s="2" t="inlineStr"/>
      <c r="R45" s="2" t="inlineStr"/>
      <c r="S45" s="2" t="inlineStr">
        <is>
          <t>https://www.scopus.com/inward/record.uri?eid=2-s2.0-85143729681&amp;doi=10.1109%2fMetroSea55331.2022.9950828&amp;partnerID=40&amp;md5=3bb6e244b742f567a5b21f7d191fb83f</t>
        </is>
      </c>
      <c r="T45" s="2" t="inlineStr"/>
      <c r="U45" s="2" t="inlineStr">
        <is>
          <t>eng</t>
        </is>
      </c>
      <c r="V45" s="2" t="inlineStr">
        <is>
          <t>drupal</t>
        </is>
      </c>
      <c r="W45" s="2" t="inlineStr">
        <is>
          <t>228</t>
        </is>
      </c>
      <c r="X45" s="2" t="inlineStr">
        <is>
          <t>1</t>
        </is>
      </c>
      <c r="Y45" s="2" t="inlineStr">
        <is>
          <t>yes</t>
        </is>
      </c>
      <c r="Z45" s="2" t="inlineStr"/>
      <c r="AA45" s="2" t="inlineStr"/>
      <c r="AB45" s="2" t="inlineStr">
        <is>
          <t>legacy_drupal_historical</t>
        </is>
      </c>
      <c r="AC45" s="2" t="inlineStr"/>
    </row>
    <row r="46">
      <c r="A46" s="2" t="inlineStr">
        <is>
          <t>drupal-231</t>
        </is>
      </c>
      <c r="B46" s="2" t="inlineStr">
        <is>
          <t>2022</t>
        </is>
      </c>
      <c r="C46" s="2" t="inlineStr"/>
      <c r="D46" s="2" t="inlineStr">
        <is>
          <t>Fatigue Assessment of Moorings for Floating Offshore Wind Turbines by Advanced Spectral Analysis Methods</t>
        </is>
      </c>
      <c r="E46" s="2" t="inlineStr">
        <is>
          <t>Vincenzo Piscopo; Antonio Scamardella; Giovanni Battista Rossi; Francesco Crenna; Marta Berardengo</t>
        </is>
      </c>
      <c r="F46" s="2" t="inlineStr">
        <is>
          <t>Vincenzo Piscopo; Antonio Scamardella</t>
        </is>
      </c>
      <c r="G46" s="2" t="inlineStr">
        <is>
          <t>Journal Article</t>
        </is>
      </c>
      <c r="H46" s="2" t="inlineStr">
        <is>
          <t>Journal of Marine Science and Engineering</t>
        </is>
      </c>
      <c r="I46" s="2" t="inlineStr"/>
      <c r="J46" s="2" t="inlineStr"/>
      <c r="K46" s="2" t="inlineStr"/>
      <c r="L46" s="2" t="inlineStr">
        <is>
          <t>10</t>
        </is>
      </c>
      <c r="M46" s="2" t="inlineStr"/>
      <c r="N46" s="2" t="inlineStr"/>
      <c r="O46" s="2" t="inlineStr">
        <is>
          <t>10.3390/jmse10010037</t>
        </is>
      </c>
      <c r="P46" s="2" t="inlineStr">
        <is>
          <t>10.3390/jmse10010037</t>
        </is>
      </c>
      <c r="Q46" s="2" t="inlineStr"/>
      <c r="R46" s="2" t="inlineStr"/>
      <c r="S46" s="2" t="inlineStr">
        <is>
          <t>https://www.scopus.com/inward/record.uri?eid=2-s2.0-85122727156&amp;doi=10.3390%2fjmse10010037&amp;partnerID=40&amp;md5=6febaa2c13717be4da55277ec645b29d</t>
        </is>
      </c>
      <c r="T46" s="2" t="inlineStr"/>
      <c r="U46" s="2" t="inlineStr">
        <is>
          <t>eng</t>
        </is>
      </c>
      <c r="V46" s="2" t="inlineStr">
        <is>
          <t>drupal</t>
        </is>
      </c>
      <c r="W46" s="2" t="inlineStr">
        <is>
          <t>231</t>
        </is>
      </c>
      <c r="X46" s="2" t="inlineStr">
        <is>
          <t>1</t>
        </is>
      </c>
      <c r="Y46" s="2" t="inlineStr">
        <is>
          <t>yes</t>
        </is>
      </c>
      <c r="Z46" s="2" t="inlineStr"/>
      <c r="AA46" s="2" t="inlineStr"/>
      <c r="AB46" s="2" t="inlineStr">
        <is>
          <t>legacy_drupal_historical</t>
        </is>
      </c>
      <c r="AC46" s="2" t="inlineStr"/>
    </row>
    <row r="47">
      <c r="A47" s="2" t="inlineStr">
        <is>
          <t>drupal-230</t>
        </is>
      </c>
      <c r="B47" s="2" t="inlineStr">
        <is>
          <t>2022</t>
        </is>
      </c>
      <c r="C47" s="2" t="inlineStr"/>
      <c r="D47" s="2" t="inlineStr">
        <is>
          <t>Measurement of sea waves</t>
        </is>
      </c>
      <c r="E47" s="2" t="inlineStr">
        <is>
          <t>Giovanni Battista Rossi; Andrea Cannata; Antonio Iengo; Maurizio Migliaccio; Gabriele Nardone; Vincenzo Piscopo; Enrico Zambianchi</t>
        </is>
      </c>
      <c r="F47" s="2" t="inlineStr">
        <is>
          <t>Vincenzo Piscopo</t>
        </is>
      </c>
      <c r="G47" s="2" t="inlineStr">
        <is>
          <t>Journal Article</t>
        </is>
      </c>
      <c r="H47" s="2" t="inlineStr">
        <is>
          <t>Sensors</t>
        </is>
      </c>
      <c r="I47" s="2" t="inlineStr"/>
      <c r="J47" s="2" t="inlineStr"/>
      <c r="K47" s="2" t="inlineStr"/>
      <c r="L47" s="2" t="inlineStr">
        <is>
          <t>22</t>
        </is>
      </c>
      <c r="M47" s="2" t="inlineStr"/>
      <c r="N47" s="2" t="inlineStr"/>
      <c r="O47" s="2" t="inlineStr">
        <is>
          <t>10.3390/s22010078</t>
        </is>
      </c>
      <c r="P47" s="2" t="inlineStr">
        <is>
          <t>10.3390/s22010078</t>
        </is>
      </c>
      <c r="Q47" s="2" t="inlineStr"/>
      <c r="R47" s="2" t="inlineStr"/>
      <c r="S47" s="2" t="inlineStr">
        <is>
          <t>https://www.scopus.com/inward/record.uri?eid=2-s2.0-85121513512&amp;doi=10.3390%2fs22010078&amp;partnerID=40&amp;md5=ac685f481b19ebcd98336868ac81ad97</t>
        </is>
      </c>
      <c r="T47" s="2" t="inlineStr"/>
      <c r="U47" s="2" t="inlineStr">
        <is>
          <t>eng</t>
        </is>
      </c>
      <c r="V47" s="2" t="inlineStr">
        <is>
          <t>drupal</t>
        </is>
      </c>
      <c r="W47" s="2" t="inlineStr">
        <is>
          <t>230</t>
        </is>
      </c>
      <c r="X47" s="2" t="inlineStr">
        <is>
          <t>1</t>
        </is>
      </c>
      <c r="Y47" s="2" t="inlineStr">
        <is>
          <t>yes</t>
        </is>
      </c>
      <c r="Z47" s="2" t="inlineStr"/>
      <c r="AA47" s="2" t="inlineStr"/>
      <c r="AB47" s="2" t="inlineStr">
        <is>
          <t>legacy_drupal_historical</t>
        </is>
      </c>
      <c r="AC47" s="2" t="inlineStr"/>
    </row>
    <row r="48">
      <c r="A48" s="2" t="inlineStr">
        <is>
          <t>drupal-236</t>
        </is>
      </c>
      <c r="B48" s="2" t="inlineStr">
        <is>
          <t>2022</t>
        </is>
      </c>
      <c r="C48" s="2" t="inlineStr"/>
      <c r="D48" s="2" t="inlineStr">
        <is>
          <t>Monitoring the Posidonia Meadows structure through underwater photogrammetry: A case study</t>
        </is>
      </c>
      <c r="E48" s="2" t="inlineStr">
        <is>
          <t>Francesca Russo; Silvio Del Pizzo; Fabiana Di Ciaccio; Salvatore Troisi</t>
        </is>
      </c>
      <c r="F48" s="2" t="inlineStr">
        <is>
          <t>Silvio Del Pizzo; Salvatore Troisi</t>
        </is>
      </c>
      <c r="G48" s="2" t="inlineStr">
        <is>
          <t>Conference Paper</t>
        </is>
      </c>
      <c r="H48" s="2" t="inlineStr">
        <is>
          <t>2022 IEEE International Workshop on Metrology for the Sea; Learning to Measure Sea Health Parameters, MetroSea 2022 - Proceedings</t>
        </is>
      </c>
      <c r="I48" s="2" t="inlineStr"/>
      <c r="J48" s="2" t="inlineStr"/>
      <c r="K48" s="2" t="inlineStr"/>
      <c r="L48" s="2" t="inlineStr"/>
      <c r="M48" s="2" t="inlineStr"/>
      <c r="N48" s="2" t="inlineStr"/>
      <c r="O48" s="2" t="inlineStr">
        <is>
          <t>10.1109/MetroSea55331.2022.9950873</t>
        </is>
      </c>
      <c r="P48" s="2" t="inlineStr">
        <is>
          <t>10.1109/MetroSea55331.2022.9950873</t>
        </is>
      </c>
      <c r="Q48" s="2" t="inlineStr"/>
      <c r="R48" s="2" t="inlineStr"/>
      <c r="S48" s="2" t="inlineStr">
        <is>
          <t>https://www.scopus.com/inward/record.uri?eid=2-s2.0-85143730388&amp;doi=10.1109%2fMetroSea55331.2022.9950873&amp;partnerID=40&amp;md5=972b07d1b354f67ed41b43f8da074c5d</t>
        </is>
      </c>
      <c r="T48" s="2" t="inlineStr"/>
      <c r="U48" s="2" t="inlineStr">
        <is>
          <t>eng</t>
        </is>
      </c>
      <c r="V48" s="2" t="inlineStr">
        <is>
          <t>drupal</t>
        </is>
      </c>
      <c r="W48" s="2" t="inlineStr">
        <is>
          <t>236</t>
        </is>
      </c>
      <c r="X48" s="2" t="inlineStr">
        <is>
          <t>1</t>
        </is>
      </c>
      <c r="Y48" s="2" t="inlineStr">
        <is>
          <t>yes</t>
        </is>
      </c>
      <c r="Z48" s="2" t="inlineStr"/>
      <c r="AA48" s="2" t="inlineStr"/>
      <c r="AB48" s="2" t="inlineStr">
        <is>
          <t>legacy_drupal_historical</t>
        </is>
      </c>
      <c r="AC48" s="2" t="inlineStr"/>
    </row>
    <row r="49">
      <c r="A49" s="2" t="inlineStr">
        <is>
          <t>drupal-232</t>
        </is>
      </c>
      <c r="B49" s="2" t="inlineStr">
        <is>
          <t>2022</t>
        </is>
      </c>
      <c r="C49" s="2" t="inlineStr"/>
      <c r="D49" s="2" t="inlineStr">
        <is>
          <t>Sensitivity Analysis of a Marine Gasoline Engine: From Power to Emissions</t>
        </is>
      </c>
      <c r="E49" s="2" t="inlineStr">
        <is>
          <t>Luigia Mocerino; Vincenzo Piscopo; Antonio Scamardella</t>
        </is>
      </c>
      <c r="F49" s="2" t="inlineStr">
        <is>
          <t>Vincenzo Piscopo; Antonio Scamardella</t>
        </is>
      </c>
      <c r="G49" s="2" t="inlineStr">
        <is>
          <t>Conference Paper</t>
        </is>
      </c>
      <c r="H49" s="2" t="inlineStr">
        <is>
          <t>Progress in Marine Science and Technology</t>
        </is>
      </c>
      <c r="I49" s="2" t="inlineStr"/>
      <c r="J49" s="2" t="inlineStr"/>
      <c r="K49" s="2" t="inlineStr"/>
      <c r="L49" s="2" t="inlineStr"/>
      <c r="M49" s="2" t="inlineStr"/>
      <c r="N49" s="2" t="inlineStr"/>
      <c r="O49" s="2" t="inlineStr">
        <is>
          <t>10.3233/PMST220026</t>
        </is>
      </c>
      <c r="P49" s="2" t="inlineStr">
        <is>
          <t>10.3233/PMST220026</t>
        </is>
      </c>
      <c r="Q49" s="2" t="inlineStr"/>
      <c r="R49" s="2" t="inlineStr"/>
      <c r="S49" s="2" t="inlineStr">
        <is>
          <t>https://www.scopus.com/inward/record.uri?eid=2-s2.0-85138172002&amp;doi=10.3233%2fPMST220026&amp;partnerID=40&amp;md5=6a23a661e912bb65f5bdb7b76ada7bf0</t>
        </is>
      </c>
      <c r="T49" s="2" t="inlineStr"/>
      <c r="U49" s="2" t="inlineStr">
        <is>
          <t>eng</t>
        </is>
      </c>
      <c r="V49" s="2" t="inlineStr">
        <is>
          <t>drupal</t>
        </is>
      </c>
      <c r="W49" s="2" t="inlineStr">
        <is>
          <t>232</t>
        </is>
      </c>
      <c r="X49" s="2" t="inlineStr">
        <is>
          <t>1</t>
        </is>
      </c>
      <c r="Y49" s="2" t="inlineStr">
        <is>
          <t>yes</t>
        </is>
      </c>
      <c r="Z49" s="2" t="inlineStr"/>
      <c r="AA49" s="2" t="inlineStr"/>
      <c r="AB49" s="2" t="inlineStr">
        <is>
          <t>legacy_drupal_historical</t>
        </is>
      </c>
      <c r="AC49" s="2" t="inlineStr"/>
    </row>
    <row r="50">
      <c r="A50" s="2" t="inlineStr">
        <is>
          <t>drupal-220</t>
        </is>
      </c>
      <c r="B50" s="2" t="inlineStr">
        <is>
          <t>2022</t>
        </is>
      </c>
      <c r="C50" s="2" t="inlineStr"/>
      <c r="D50" s="2" t="inlineStr">
        <is>
          <t>Smartphone GNSS Performance in an Urban Scenario with RAIM Application</t>
        </is>
      </c>
      <c r="E50" s="2" t="inlineStr">
        <is>
          <t>Antonio Angrisano; Salvatore Gaglione</t>
        </is>
      </c>
      <c r="F50" s="2" t="inlineStr">
        <is>
          <t>Salvatore Gaglione</t>
        </is>
      </c>
      <c r="G50" s="2" t="inlineStr">
        <is>
          <t>Journal Article</t>
        </is>
      </c>
      <c r="H50" s="2" t="inlineStr">
        <is>
          <t>Sensors</t>
        </is>
      </c>
      <c r="I50" s="2" t="inlineStr"/>
      <c r="J50" s="2" t="inlineStr"/>
      <c r="K50" s="2" t="inlineStr"/>
      <c r="L50" s="2" t="inlineStr">
        <is>
          <t>22</t>
        </is>
      </c>
      <c r="M50" s="2" t="inlineStr"/>
      <c r="N50" s="2" t="inlineStr"/>
      <c r="O50" s="2" t="inlineStr">
        <is>
          <t>10.3390/s22030786</t>
        </is>
      </c>
      <c r="P50" s="2" t="inlineStr">
        <is>
          <t>10.3390/s22030786</t>
        </is>
      </c>
      <c r="Q50" s="2" t="inlineStr"/>
      <c r="R50" s="2" t="inlineStr"/>
      <c r="S50" s="2" t="inlineStr">
        <is>
          <t>https://www.scopus.com/inward/record.uri?eid=2-s2.0-85122911041&amp;doi=10.3390%2fs22030786&amp;partnerID=40&amp;md5=2257427f4a504f1e14a0ee8098b8517e</t>
        </is>
      </c>
      <c r="T50" s="2" t="inlineStr"/>
      <c r="U50" s="2" t="inlineStr">
        <is>
          <t>eng</t>
        </is>
      </c>
      <c r="V50" s="2" t="inlineStr">
        <is>
          <t>drupal</t>
        </is>
      </c>
      <c r="W50" s="2" t="inlineStr">
        <is>
          <t>220</t>
        </is>
      </c>
      <c r="X50" s="2" t="inlineStr">
        <is>
          <t>1</t>
        </is>
      </c>
      <c r="Y50" s="2" t="inlineStr">
        <is>
          <t>yes</t>
        </is>
      </c>
      <c r="Z50" s="2" t="inlineStr"/>
      <c r="AA50" s="2" t="inlineStr"/>
      <c r="AB50" s="2" t="inlineStr">
        <is>
          <t>legacy_drupal_historical</t>
        </is>
      </c>
      <c r="AC50" s="2" t="inlineStr"/>
    </row>
    <row r="51">
      <c r="A51" s="2" t="inlineStr">
        <is>
          <t>drupal-235</t>
        </is>
      </c>
      <c r="B51" s="2" t="inlineStr">
        <is>
          <t>2022</t>
        </is>
      </c>
      <c r="C51" s="2" t="inlineStr"/>
      <c r="D51" s="2" t="inlineStr">
        <is>
          <t>Solutions and limitations of the geomatic survey of an archaeological site in hard to access areas with a latest generation smartphone: the example of the Intihuatana stone in Machu Picchu (Peru)</t>
        </is>
      </c>
      <c r="E51" s="2" t="inlineStr">
        <is>
          <t>Valerio Baiocchi; Silvio Del Pizzo; Felicia Monti; Giovanni Pugliano; Matteo Onori; Umberto Robustelli; Salvatore Troisi; Felicia Vatore; Francisco James León Trujillo</t>
        </is>
      </c>
      <c r="F51" s="2" t="inlineStr">
        <is>
          <t>Silvio Del Pizzo; Salvatore Troisi</t>
        </is>
      </c>
      <c r="G51" s="2" t="inlineStr">
        <is>
          <t>Journal Article</t>
        </is>
      </c>
      <c r="H51" s="2" t="inlineStr">
        <is>
          <t>Acta IMEKO</t>
        </is>
      </c>
      <c r="I51" s="2" t="inlineStr"/>
      <c r="J51" s="2" t="inlineStr"/>
      <c r="K51" s="2" t="inlineStr"/>
      <c r="L51" s="2" t="inlineStr">
        <is>
          <t>11</t>
        </is>
      </c>
      <c r="M51" s="2" t="inlineStr"/>
      <c r="N51" s="2" t="inlineStr"/>
      <c r="O51" s="2" t="inlineStr">
        <is>
          <t>10.21014/acta_imeko.v11i1.1117</t>
        </is>
      </c>
      <c r="P51" s="2" t="inlineStr">
        <is>
          <t>10.21014/acta_imeko.v11i1.1117</t>
        </is>
      </c>
      <c r="Q51" s="2" t="inlineStr"/>
      <c r="R51" s="2" t="inlineStr"/>
      <c r="S51" s="2" t="inlineStr">
        <is>
          <t>https://www.scopus.com/inward/record.uri?eid=2-s2.0-85128163308&amp;doi=10.21014%2facta_imeko.v11i1.1117&amp;partnerID=40&amp;md5=8310bea6a52fc77f2b4da19e4bf790fd</t>
        </is>
      </c>
      <c r="T51" s="2" t="inlineStr"/>
      <c r="U51" s="2" t="inlineStr">
        <is>
          <t>eng</t>
        </is>
      </c>
      <c r="V51" s="2" t="inlineStr">
        <is>
          <t>drupal</t>
        </is>
      </c>
      <c r="W51" s="2" t="inlineStr">
        <is>
          <t>235</t>
        </is>
      </c>
      <c r="X51" s="2" t="inlineStr">
        <is>
          <t>1</t>
        </is>
      </c>
      <c r="Y51" s="2" t="inlineStr">
        <is>
          <t>yes</t>
        </is>
      </c>
      <c r="Z51" s="2" t="inlineStr">
        <is>
          <t>ambiguous_author:Pizzo, Silvio Del</t>
        </is>
      </c>
      <c r="AA51" s="2" t="inlineStr"/>
      <c r="AB51" s="2" t="inlineStr">
        <is>
          <t>legacy_drupal_historical</t>
        </is>
      </c>
      <c r="AC51" s="2" t="inlineStr"/>
    </row>
    <row r="52">
      <c r="A52" s="2" t="inlineStr">
        <is>
          <t>drupal-218</t>
        </is>
      </c>
      <c r="B52" s="2" t="inlineStr">
        <is>
          <t>2022</t>
        </is>
      </c>
      <c r="C52" s="2" t="inlineStr"/>
      <c r="D52" s="2" t="inlineStr">
        <is>
          <t>The EGNOS Augmentation in Maritime Navigation</t>
        </is>
      </c>
      <c r="E52" s="2" t="inlineStr">
        <is>
          <t>Anna Innac; Antonio Angrisano; Silvio Del Pizzo; Giovanni Cappello; Salvatore Gaglione</t>
        </is>
      </c>
      <c r="F52" s="2" t="inlineStr">
        <is>
          <t>Silvio Del Pizzo; Salvatore Gaglione</t>
        </is>
      </c>
      <c r="G52" s="2" t="inlineStr">
        <is>
          <t>Journal Article</t>
        </is>
      </c>
      <c r="H52" s="2" t="inlineStr">
        <is>
          <t>Sensors</t>
        </is>
      </c>
      <c r="I52" s="2" t="inlineStr"/>
      <c r="J52" s="2" t="inlineStr"/>
      <c r="K52" s="2" t="inlineStr"/>
      <c r="L52" s="2" t="inlineStr">
        <is>
          <t>22</t>
        </is>
      </c>
      <c r="M52" s="2" t="inlineStr"/>
      <c r="N52" s="2" t="inlineStr"/>
      <c r="O52" s="2" t="inlineStr">
        <is>
          <t>10.3390/s22030775</t>
        </is>
      </c>
      <c r="P52" s="2" t="inlineStr">
        <is>
          <t>10.3390/s22030775</t>
        </is>
      </c>
      <c r="Q52" s="2" t="inlineStr"/>
      <c r="R52" s="2" t="inlineStr"/>
      <c r="S52" s="2" t="inlineStr">
        <is>
          <t>https://www.scopus.com/inward/record.uri?eid=2-s2.0-85123544870&amp;doi=10.3390%2fs22030775&amp;partnerID=40&amp;md5=4f9f702ca89cf3ec4f08c1e47634a44f</t>
        </is>
      </c>
      <c r="T52" s="2" t="inlineStr"/>
      <c r="U52" s="2" t="inlineStr">
        <is>
          <t>eng</t>
        </is>
      </c>
      <c r="V52" s="2" t="inlineStr">
        <is>
          <t>drupal</t>
        </is>
      </c>
      <c r="W52" s="2" t="inlineStr">
        <is>
          <t>218</t>
        </is>
      </c>
      <c r="X52" s="2" t="inlineStr">
        <is>
          <t>1</t>
        </is>
      </c>
      <c r="Y52" s="2" t="inlineStr">
        <is>
          <t>yes</t>
        </is>
      </c>
      <c r="Z52" s="2" t="inlineStr"/>
      <c r="AA52" s="2" t="inlineStr"/>
      <c r="AB52" s="2" t="inlineStr">
        <is>
          <t>legacy_drupal_historical</t>
        </is>
      </c>
      <c r="AC52" s="2" t="inlineStr"/>
    </row>
    <row r="53">
      <c r="A53" s="2" t="inlineStr">
        <is>
          <t>drupal-226</t>
        </is>
      </c>
      <c r="B53" s="2" t="inlineStr">
        <is>
          <t>2022</t>
        </is>
      </c>
      <c r="C53" s="2" t="inlineStr"/>
      <c r="D53" s="2" t="inlineStr">
        <is>
          <t>Time-Differenced Carrier Phase Technique for Precise Velocity Estimation on an Android Smartphone</t>
        </is>
      </c>
      <c r="E53" s="2" t="inlineStr">
        <is>
          <t>Antonio Angrisano; Giovanni Cappello; Silvio Del Pizzo; Salvatore Gaglione</t>
        </is>
      </c>
      <c r="F53" s="2" t="inlineStr">
        <is>
          <t>Silvio Del Pizzo; Salvatore Gaglione</t>
        </is>
      </c>
      <c r="G53" s="2" t="inlineStr">
        <is>
          <t>Journal Article</t>
        </is>
      </c>
      <c r="H53" s="2" t="inlineStr">
        <is>
          <t>Sensors</t>
        </is>
      </c>
      <c r="I53" s="2" t="inlineStr"/>
      <c r="J53" s="2" t="inlineStr"/>
      <c r="K53" s="2" t="inlineStr"/>
      <c r="L53" s="2" t="inlineStr">
        <is>
          <t>22</t>
        </is>
      </c>
      <c r="M53" s="2" t="inlineStr"/>
      <c r="N53" s="2" t="inlineStr"/>
      <c r="O53" s="2" t="inlineStr">
        <is>
          <t>10.3390/s22218514</t>
        </is>
      </c>
      <c r="P53" s="2" t="inlineStr">
        <is>
          <t>10.3390/s22218514</t>
        </is>
      </c>
      <c r="Q53" s="2" t="inlineStr"/>
      <c r="R53" s="2" t="inlineStr"/>
      <c r="S53" s="2" t="inlineStr">
        <is>
          <t>https://www.scopus.com/inward/record.uri?eid=2-s2.0-85141576490&amp;doi=10.3390%2fs22218514&amp;partnerID=40&amp;md5=58bb5fe85b4ff343feeb6f5af0ade089</t>
        </is>
      </c>
      <c r="T53" s="2" t="inlineStr"/>
      <c r="U53" s="2" t="inlineStr">
        <is>
          <t>eng</t>
        </is>
      </c>
      <c r="V53" s="2" t="inlineStr">
        <is>
          <t>drupal</t>
        </is>
      </c>
      <c r="W53" s="2" t="inlineStr">
        <is>
          <t>226</t>
        </is>
      </c>
      <c r="X53" s="2" t="inlineStr">
        <is>
          <t>1</t>
        </is>
      </c>
      <c r="Y53" s="2" t="inlineStr">
        <is>
          <t>yes</t>
        </is>
      </c>
      <c r="Z53" s="2" t="inlineStr"/>
      <c r="AA53" s="2" t="inlineStr"/>
      <c r="AB53" s="2" t="inlineStr">
        <is>
          <t>legacy_drupal_historical</t>
        </is>
      </c>
      <c r="AC53" s="2" t="inlineStr"/>
    </row>
    <row r="54">
      <c r="A54" s="2" t="inlineStr">
        <is>
          <t>drupal-172</t>
        </is>
      </c>
      <c r="B54" s="2" t="inlineStr">
        <is>
          <t>2021</t>
        </is>
      </c>
      <c r="C54" s="2" t="inlineStr"/>
      <c r="D54" s="2" t="inlineStr">
        <is>
          <t>A Kalman filter single point positioning for maritime applications using a smartphone</t>
        </is>
      </c>
      <c r="E54" s="2" t="inlineStr">
        <is>
          <t>Anna Innac; Antonio Angrisano; G. Dardanelli; Vincenzo Della Corte; Elena Martellato; Alessandra Rotundi; Giampaolo Ferraioli; Pasquale Palumbo; Salvatore Gaglione</t>
        </is>
      </c>
      <c r="F54" s="2" t="inlineStr">
        <is>
          <t>Giampaolo Ferraioli; Salvatore Gaglione</t>
        </is>
      </c>
      <c r="G54" s="2" t="inlineStr">
        <is>
          <t>Journal Article</t>
        </is>
      </c>
      <c r="H54" s="2" t="inlineStr">
        <is>
          <t>Geographia Technica</t>
        </is>
      </c>
      <c r="I54" s="2" t="inlineStr"/>
      <c r="J54" s="2" t="inlineStr"/>
      <c r="K54" s="2" t="inlineStr"/>
      <c r="L54" s="2" t="inlineStr">
        <is>
          <t>16</t>
        </is>
      </c>
      <c r="M54" s="2" t="inlineStr"/>
      <c r="N54" s="2" t="inlineStr">
        <is>
          <t>15-29</t>
        </is>
      </c>
      <c r="O54" s="2" t="inlineStr">
        <is>
          <t>10.21163/GT_2021.163.02</t>
        </is>
      </c>
      <c r="P54" s="2" t="inlineStr">
        <is>
          <t>10.21163/GT_2021.163.02</t>
        </is>
      </c>
      <c r="Q54" s="2" t="inlineStr"/>
      <c r="R54" s="2" t="inlineStr"/>
      <c r="S54" s="2" t="inlineStr">
        <is>
          <t>https://www.scopus.com/inward/record.uri?eid=2-s2.0-85104946254&amp;doi=10.21163%2fGT_2021.163.02&amp;partnerID=40&amp;md5=ee32f4e7818feeb22ee5c1c25d7e0419</t>
        </is>
      </c>
      <c r="T54" s="2" t="inlineStr"/>
      <c r="U54" s="2" t="inlineStr">
        <is>
          <t>eng</t>
        </is>
      </c>
      <c r="V54" s="2" t="inlineStr">
        <is>
          <t>drupal</t>
        </is>
      </c>
      <c r="W54" s="2" t="inlineStr">
        <is>
          <t>172</t>
        </is>
      </c>
      <c r="X54" s="2" t="inlineStr">
        <is>
          <t>1</t>
        </is>
      </c>
      <c r="Y54" s="2" t="inlineStr">
        <is>
          <t>yes</t>
        </is>
      </c>
      <c r="Z54" s="2" t="inlineStr"/>
      <c r="AA54" s="2" t="inlineStr"/>
      <c r="AB54" s="2" t="inlineStr">
        <is>
          <t>legacy_drupal_historical</t>
        </is>
      </c>
      <c r="AC54" s="2" t="inlineStr"/>
    </row>
    <row r="55">
      <c r="A55" s="2" t="inlineStr">
        <is>
          <t>drupal-192</t>
        </is>
      </c>
      <c r="B55" s="2" t="inlineStr">
        <is>
          <t>2021</t>
        </is>
      </c>
      <c r="C55" s="2" t="inlineStr"/>
      <c r="D55" s="2" t="inlineStr">
        <is>
          <t>A preliminary study on an optical system for nautical and maritime traffic monitoring</t>
        </is>
      </c>
      <c r="E55" s="2" t="inlineStr">
        <is>
          <t>Silvio Del Pizzo; Salvatore Troisi; Antonio Angrisano; Fabiana Di Ciaccio; Salvatore Gaglione</t>
        </is>
      </c>
      <c r="F55" s="2" t="inlineStr">
        <is>
          <t>Silvio Del Pizzo; Salvatore Troisi; Salvatore Gaglione</t>
        </is>
      </c>
      <c r="G55" s="2" t="inlineStr">
        <is>
          <t>Conference Paper</t>
        </is>
      </c>
      <c r="H55" s="2" t="inlineStr">
        <is>
          <t>2021 International Workshop on Metrology for the Sea; Learning to Measure Sea Health Parameters (MetroSea)</t>
        </is>
      </c>
      <c r="I55" s="2" t="inlineStr"/>
      <c r="J55" s="2" t="inlineStr"/>
      <c r="K55" s="2" t="inlineStr"/>
      <c r="L55" s="2" t="inlineStr"/>
      <c r="M55" s="2" t="inlineStr"/>
      <c r="N55" s="2" t="inlineStr"/>
      <c r="O55" s="2" t="inlineStr">
        <is>
          <t>10.1109/MetroSea52177.2021.9611575</t>
        </is>
      </c>
      <c r="P55" s="2" t="inlineStr">
        <is>
          <t>10.1109/MetroSea52177.2021.9611575</t>
        </is>
      </c>
      <c r="Q55" s="2" t="inlineStr"/>
      <c r="R55" s="2" t="inlineStr"/>
      <c r="S55" s="2" t="inlineStr"/>
      <c r="T55" s="2" t="inlineStr"/>
      <c r="U55" s="2" t="inlineStr">
        <is>
          <t>eng</t>
        </is>
      </c>
      <c r="V55" s="2" t="inlineStr">
        <is>
          <t>drupal</t>
        </is>
      </c>
      <c r="W55" s="2" t="inlineStr">
        <is>
          <t>192</t>
        </is>
      </c>
      <c r="X55" s="2" t="inlineStr">
        <is>
          <t>1</t>
        </is>
      </c>
      <c r="Y55" s="2" t="inlineStr">
        <is>
          <t>yes</t>
        </is>
      </c>
      <c r="Z55" s="2" t="inlineStr">
        <is>
          <t>ambiguous_author:Pizzo, Silvio Del</t>
        </is>
      </c>
      <c r="AA55" s="2" t="inlineStr"/>
      <c r="AB55" s="2" t="inlineStr">
        <is>
          <t>legacy_drupal_historical</t>
        </is>
      </c>
      <c r="AC55" s="2" t="inlineStr"/>
    </row>
    <row r="56">
      <c r="A56" s="2" t="inlineStr">
        <is>
          <t>drupal-197</t>
        </is>
      </c>
      <c r="B56" s="2" t="inlineStr">
        <is>
          <t>2021</t>
        </is>
      </c>
      <c r="C56" s="2" t="inlineStr"/>
      <c r="D56" s="2" t="inlineStr">
        <is>
          <t>Danae++: A smart approach for denoising underwater attitude estimation</t>
        </is>
      </c>
      <c r="E56" s="2" t="inlineStr">
        <is>
          <t>P. Russo; Fabiana Di Ciaccio; Salvatore Troisi</t>
        </is>
      </c>
      <c r="F56" s="2" t="inlineStr">
        <is>
          <t>Salvatore Troisi</t>
        </is>
      </c>
      <c r="G56" s="2" t="inlineStr">
        <is>
          <t>Journal Article</t>
        </is>
      </c>
      <c r="H56" s="2" t="inlineStr">
        <is>
          <t>Sensors</t>
        </is>
      </c>
      <c r="I56" s="2" t="inlineStr"/>
      <c r="J56" s="2" t="inlineStr"/>
      <c r="K56" s="2" t="inlineStr"/>
      <c r="L56" s="2" t="inlineStr">
        <is>
          <t>21</t>
        </is>
      </c>
      <c r="M56" s="2" t="inlineStr"/>
      <c r="N56" s="2" t="inlineStr">
        <is>
          <t>1-21</t>
        </is>
      </c>
      <c r="O56" s="2" t="inlineStr">
        <is>
          <t>10.3390/s21041526</t>
        </is>
      </c>
      <c r="P56" s="2" t="inlineStr">
        <is>
          <t>10.3390/s21041526</t>
        </is>
      </c>
      <c r="Q56" s="2" t="inlineStr"/>
      <c r="R56" s="2" t="inlineStr"/>
      <c r="S56" s="2" t="inlineStr">
        <is>
          <t>https://www.scopus.com/inward/record.uri?eid=2-s2.0-85101177509&amp;doi=10.3390%2fs21041526&amp;partnerID=40&amp;md5=aacf41a8b089e0745bbee8259b6a4861</t>
        </is>
      </c>
      <c r="T56" s="2" t="inlineStr"/>
      <c r="U56" s="2" t="inlineStr">
        <is>
          <t>eng</t>
        </is>
      </c>
      <c r="V56" s="2" t="inlineStr">
        <is>
          <t>drupal</t>
        </is>
      </c>
      <c r="W56" s="2" t="inlineStr">
        <is>
          <t>197</t>
        </is>
      </c>
      <c r="X56" s="2" t="inlineStr">
        <is>
          <t>1</t>
        </is>
      </c>
      <c r="Y56" s="2" t="inlineStr">
        <is>
          <t>yes</t>
        </is>
      </c>
      <c r="Z56" s="2" t="inlineStr"/>
      <c r="AA56" s="2" t="inlineStr"/>
      <c r="AB56" s="2" t="inlineStr">
        <is>
          <t>legacy_drupal_historical</t>
        </is>
      </c>
      <c r="AC56" s="2" t="inlineStr"/>
    </row>
    <row r="57">
      <c r="A57" s="2" t="inlineStr">
        <is>
          <t>drupal-194</t>
        </is>
      </c>
      <c r="B57" s="2" t="inlineStr">
        <is>
          <t>2021</t>
        </is>
      </c>
      <c r="C57" s="2" t="inlineStr"/>
      <c r="D57" s="2" t="inlineStr">
        <is>
          <t>EGNOS Performances assessment in maritime navigation</t>
        </is>
      </c>
      <c r="E57" s="2" t="inlineStr">
        <is>
          <t>Anna Innac; Antonio Angrisano; Silvio Del Pizzo; Mario Vultaggio; Salvatore Gaglione</t>
        </is>
      </c>
      <c r="F57" s="2" t="inlineStr">
        <is>
          <t>Silvio Del Pizzo; Salvatore Gaglione</t>
        </is>
      </c>
      <c r="G57" s="2" t="inlineStr">
        <is>
          <t>Conference Paper</t>
        </is>
      </c>
      <c r="H57" s="2" t="inlineStr">
        <is>
          <t>2021 International Workshop on Metrology for the Sea; Learning to Measure Sea Health Parameters (MetroSea)</t>
        </is>
      </c>
      <c r="I57" s="2" t="inlineStr"/>
      <c r="J57" s="2" t="inlineStr"/>
      <c r="K57" s="2" t="inlineStr"/>
      <c r="L57" s="2" t="inlineStr"/>
      <c r="M57" s="2" t="inlineStr"/>
      <c r="N57" s="2" t="inlineStr"/>
      <c r="O57" s="2" t="inlineStr">
        <is>
          <t>10.1109/MetroSea52177.2021.9611552</t>
        </is>
      </c>
      <c r="P57" s="2" t="inlineStr">
        <is>
          <t>10.1109/MetroSea52177.2021.9611552</t>
        </is>
      </c>
      <c r="Q57" s="2" t="inlineStr"/>
      <c r="R57" s="2" t="inlineStr"/>
      <c r="S57" s="2" t="inlineStr"/>
      <c r="T57" s="2" t="inlineStr"/>
      <c r="U57" s="2" t="inlineStr">
        <is>
          <t>eng</t>
        </is>
      </c>
      <c r="V57" s="2" t="inlineStr">
        <is>
          <t>drupal</t>
        </is>
      </c>
      <c r="W57" s="2" t="inlineStr">
        <is>
          <t>194</t>
        </is>
      </c>
      <c r="X57" s="2" t="inlineStr">
        <is>
          <t>1</t>
        </is>
      </c>
      <c r="Y57" s="2" t="inlineStr">
        <is>
          <t>yes</t>
        </is>
      </c>
      <c r="Z57" s="2" t="inlineStr">
        <is>
          <t>ambiguous_author:Pizzo, Silvio Del</t>
        </is>
      </c>
      <c r="AA57" s="2" t="inlineStr"/>
      <c r="AB57" s="2" t="inlineStr">
        <is>
          <t>legacy_drupal_historical</t>
        </is>
      </c>
      <c r="AC57" s="2" t="inlineStr"/>
    </row>
    <row r="58">
      <c r="A58" s="2" t="inlineStr">
        <is>
          <t>drupal-196</t>
        </is>
      </c>
      <c r="B58" s="2" t="inlineStr">
        <is>
          <t>2021</t>
        </is>
      </c>
      <c r="C58" s="2" t="inlineStr"/>
      <c r="D58" s="2" t="inlineStr">
        <is>
          <t>Monitoring marine environments with Autonomous Underwater Vehicles: A bibliometric analysis</t>
        </is>
      </c>
      <c r="E58" s="2" t="inlineStr">
        <is>
          <t>Fabiana Di Ciaccio; Salvatore Troisi</t>
        </is>
      </c>
      <c r="F58" s="2" t="inlineStr">
        <is>
          <t>Salvatore Troisi</t>
        </is>
      </c>
      <c r="G58" s="2" t="inlineStr">
        <is>
          <t>Journal Article</t>
        </is>
      </c>
      <c r="H58" s="2" t="inlineStr">
        <is>
          <t>Results in Engineering</t>
        </is>
      </c>
      <c r="I58" s="2" t="inlineStr"/>
      <c r="J58" s="2" t="inlineStr"/>
      <c r="K58" s="2" t="inlineStr"/>
      <c r="L58" s="2" t="inlineStr">
        <is>
          <t>9</t>
        </is>
      </c>
      <c r="M58" s="2" t="inlineStr"/>
      <c r="N58" s="2" t="inlineStr"/>
      <c r="O58" s="2" t="inlineStr">
        <is>
          <t>10.1016/j.rineng.2021.100205</t>
        </is>
      </c>
      <c r="P58" s="2" t="inlineStr">
        <is>
          <t>10.1016/j.rineng.2021.100205</t>
        </is>
      </c>
      <c r="Q58" s="2" t="inlineStr"/>
      <c r="R58" s="2" t="inlineStr"/>
      <c r="S58" s="2" t="inlineStr">
        <is>
          <t>https://www.scopus.com/inward/record.uri?eid=2-s2.0-85100073203&amp;doi=10.1016%2fj.rineng.2021.100205&amp;partnerID=40&amp;md5=212378979419f0ca269c82a38c140075</t>
        </is>
      </c>
      <c r="T58" s="2" t="inlineStr"/>
      <c r="U58" s="2" t="inlineStr">
        <is>
          <t>eng</t>
        </is>
      </c>
      <c r="V58" s="2" t="inlineStr">
        <is>
          <t>drupal</t>
        </is>
      </c>
      <c r="W58" s="2" t="inlineStr">
        <is>
          <t>196</t>
        </is>
      </c>
      <c r="X58" s="2" t="inlineStr">
        <is>
          <t>1</t>
        </is>
      </c>
      <c r="Y58" s="2" t="inlineStr">
        <is>
          <t>yes</t>
        </is>
      </c>
      <c r="Z58" s="2" t="inlineStr"/>
      <c r="AA58" s="2" t="inlineStr"/>
      <c r="AB58" s="2" t="inlineStr">
        <is>
          <t>legacy_drupal_historical</t>
        </is>
      </c>
      <c r="AC58" s="2" t="inlineStr"/>
    </row>
    <row r="59">
      <c r="A59" s="2" t="inlineStr">
        <is>
          <t>drupal-193</t>
        </is>
      </c>
      <c r="B59" s="2" t="inlineStr">
        <is>
          <t>2021</t>
        </is>
      </c>
      <c r="C59" s="2" t="inlineStr"/>
      <c r="D59" s="2" t="inlineStr">
        <is>
          <t>Photogrammetry applications on stranded cetaceans: fin whale case study and preliminary results.</t>
        </is>
      </c>
      <c r="E59" s="2" t="inlineStr">
        <is>
          <t>Silvio Del Pizzo; Salvatore Troisi; Rosa Linda Testa; Giuseppe Sciancalepore; Davide Pedrotti; Guido Pietroluongo</t>
        </is>
      </c>
      <c r="F59" s="2" t="inlineStr">
        <is>
          <t>Silvio Del Pizzo; Salvatore Troisi</t>
        </is>
      </c>
      <c r="G59" s="2" t="inlineStr">
        <is>
          <t>Conference Paper</t>
        </is>
      </c>
      <c r="H59" s="2" t="inlineStr">
        <is>
          <t>2021 International Workshop on Metrology for the Sea; Learning to Measure Sea Health Parameters (MetroSea)</t>
        </is>
      </c>
      <c r="I59" s="2" t="inlineStr"/>
      <c r="J59" s="2" t="inlineStr"/>
      <c r="K59" s="2" t="inlineStr"/>
      <c r="L59" s="2" t="inlineStr"/>
      <c r="M59" s="2" t="inlineStr"/>
      <c r="N59" s="2" t="inlineStr"/>
      <c r="O59" s="2" t="inlineStr">
        <is>
          <t>10.1109/MetroSea52177.2021.9611588</t>
        </is>
      </c>
      <c r="P59" s="2" t="inlineStr">
        <is>
          <t>10.1109/MetroSea52177.2021.9611588</t>
        </is>
      </c>
      <c r="Q59" s="2" t="inlineStr"/>
      <c r="R59" s="2" t="inlineStr"/>
      <c r="S59" s="2" t="inlineStr"/>
      <c r="T59" s="2" t="inlineStr"/>
      <c r="U59" s="2" t="inlineStr">
        <is>
          <t>eng</t>
        </is>
      </c>
      <c r="V59" s="2" t="inlineStr">
        <is>
          <t>drupal</t>
        </is>
      </c>
      <c r="W59" s="2" t="inlineStr">
        <is>
          <t>193</t>
        </is>
      </c>
      <c r="X59" s="2" t="inlineStr">
        <is>
          <t>1</t>
        </is>
      </c>
      <c r="Y59" s="2" t="inlineStr">
        <is>
          <t>yes</t>
        </is>
      </c>
      <c r="Z59" s="2" t="inlineStr">
        <is>
          <t>ambiguous_author:Pizzo, Silvio Del; ambiguous_author:Testa, Rosa Linda</t>
        </is>
      </c>
      <c r="AA59" s="2" t="inlineStr"/>
      <c r="AB59" s="2" t="inlineStr">
        <is>
          <t>legacy_drupal_historical</t>
        </is>
      </c>
      <c r="AC59" s="2" t="inlineStr"/>
    </row>
    <row r="60">
      <c r="A60" s="2" t="inlineStr">
        <is>
          <t>drupal-195</t>
        </is>
      </c>
      <c r="B60" s="2" t="inlineStr">
        <is>
          <t>2021</t>
        </is>
      </c>
      <c r="C60" s="2" t="inlineStr"/>
      <c r="D60" s="2" t="inlineStr">
        <is>
          <t>Reconstructing the Late Pleistocene – Anthropocene interaction between the neotectonic and archaeological landscape evolution in the Apennines (La Sassa cave, Italy)</t>
        </is>
      </c>
      <c r="E60" s="2" t="inlineStr">
        <is>
          <t>L. Alessandri; G.L. Cardello; P.A.J. Attema; Valerio Baiocchi; F. De Angelis; Silvio Del Pizzo; Fabiana Di Ciaccio; A. Fiorillo; M. Gatta; Felicia Monti; Matteo Onori; M.F. Rolfo; M. Romboni; G. Sottili; Salvatore Troisi</t>
        </is>
      </c>
      <c r="F60" s="2" t="inlineStr">
        <is>
          <t>Silvio Del Pizzo; Salvatore Troisi</t>
        </is>
      </c>
      <c r="G60" s="2" t="inlineStr">
        <is>
          <t>Journal Article</t>
        </is>
      </c>
      <c r="H60" s="2" t="inlineStr">
        <is>
          <t>Quaternary Science Reviews</t>
        </is>
      </c>
      <c r="I60" s="2" t="inlineStr"/>
      <c r="J60" s="2" t="inlineStr"/>
      <c r="K60" s="2" t="inlineStr"/>
      <c r="L60" s="2" t="inlineStr">
        <is>
          <t>265</t>
        </is>
      </c>
      <c r="M60" s="2" t="inlineStr"/>
      <c r="N60" s="2" t="inlineStr"/>
      <c r="O60" s="2" t="inlineStr">
        <is>
          <t>10.1016/j.quascirev.2021.107067</t>
        </is>
      </c>
      <c r="P60" s="2" t="inlineStr">
        <is>
          <t>10.1016/j.quascirev.2021.107067</t>
        </is>
      </c>
      <c r="Q60" s="2" t="inlineStr"/>
      <c r="R60" s="2" t="inlineStr"/>
      <c r="S60" s="2" t="inlineStr">
        <is>
          <t>https://www.scopus.com/inward/record.uri?eid=2-s2.0-85109153117&amp;doi=10.1016%2fj.quascirev.2021.107067&amp;partnerID=40&amp;md5=3b194a70e40e6d3cab1df4851e58b920</t>
        </is>
      </c>
      <c r="T60" s="2" t="inlineStr"/>
      <c r="U60" s="2" t="inlineStr">
        <is>
          <t>eng</t>
        </is>
      </c>
      <c r="V60" s="2" t="inlineStr">
        <is>
          <t>drupal</t>
        </is>
      </c>
      <c r="W60" s="2" t="inlineStr">
        <is>
          <t>195</t>
        </is>
      </c>
      <c r="X60" s="2" t="inlineStr">
        <is>
          <t>1</t>
        </is>
      </c>
      <c r="Y60" s="2" t="inlineStr">
        <is>
          <t>yes</t>
        </is>
      </c>
      <c r="Z60" s="2" t="inlineStr"/>
      <c r="AA60" s="2" t="inlineStr"/>
      <c r="AB60" s="2" t="inlineStr">
        <is>
          <t>legacy_drupal_historical</t>
        </is>
      </c>
      <c r="AC60" s="2" t="inlineStr"/>
    </row>
    <row r="61">
      <c r="A61" s="2" t="inlineStr">
        <is>
          <t>drupal-171</t>
        </is>
      </c>
      <c r="B61" s="2" t="inlineStr">
        <is>
          <t>2021</t>
        </is>
      </c>
      <c r="C61" s="2" t="inlineStr"/>
      <c r="D61" s="2" t="inlineStr">
        <is>
          <t>Sea State Monitoring by Ship Motion Measurements Onboard a Research Ship in the Antarctic Waters</t>
        </is>
      </c>
      <c r="E61" s="2" t="inlineStr">
        <is>
          <t>Silvia Pennino; Antonio Angrisano; Vincenzo Della Corte; Giampaolo Ferraioli; Salvatore Gaglione; Anna Innac; Elena Martellato; Pasquale Palumbo; Vincenzo Piscopo; Alessandra Rotundi; Antonio Scamardella</t>
        </is>
      </c>
      <c r="F61" s="2" t="inlineStr">
        <is>
          <t>Silvia Pennino; Giampaolo Ferraioli; Salvatore Gaglione; Vincenzo Piscopo; Antonio Scamardella</t>
        </is>
      </c>
      <c r="G61" s="2" t="inlineStr">
        <is>
          <t>Journal Article</t>
        </is>
      </c>
      <c r="H61" s="2" t="inlineStr">
        <is>
          <t>Journal of Marine Science and Engineering</t>
        </is>
      </c>
      <c r="I61" s="2" t="inlineStr"/>
      <c r="J61" s="2" t="inlineStr"/>
      <c r="K61" s="2" t="inlineStr"/>
      <c r="L61" s="2" t="inlineStr">
        <is>
          <t>9</t>
        </is>
      </c>
      <c r="M61" s="2" t="inlineStr"/>
      <c r="N61" s="2" t="inlineStr">
        <is>
          <t>64</t>
        </is>
      </c>
      <c r="O61" s="2" t="inlineStr">
        <is>
          <t>10.3390/jmse9010064</t>
        </is>
      </c>
      <c r="P61" s="2" t="inlineStr">
        <is>
          <t>10.3390/jmse9010064</t>
        </is>
      </c>
      <c r="Q61" s="2" t="inlineStr">
        <is>
          <t>2077-1312</t>
        </is>
      </c>
      <c r="R61" s="2" t="inlineStr"/>
      <c r="S61" s="2" t="inlineStr">
        <is>
          <t>https://www.mdpi.com/2077-1312/9/1/64</t>
        </is>
      </c>
      <c r="T61" s="2" t="inlineStr">
        <is>
          <t>A parametric wave spectrum resembling procedure is applied to detect the sea state parameters, namely the wave peak period and significant wave height, based on the measurement and analysis of the heave and pitch motions of a vessel in a seaway, recorded by a smartphone located onboard the ship. The measurement system makes it possible to determine the heave and pitch acceleration spectra of the reference ship in the encounter frequency domain and, subsequently, the absolute sea spectra once the ship motion transfer functions are provided. The measurements have been carried out onboard the research ship “Laura Bassi”, during the oceanographic campaign in the Antarctic Ocean carried out in January and February 2020. The resembled sea spectra are compared with the weather forecast data, provided by the global-WAM (GWAM) model, in order to validate the sea spectrum resembling procedure.</t>
        </is>
      </c>
      <c r="U61" s="2" t="inlineStr">
        <is>
          <t>eng</t>
        </is>
      </c>
      <c r="V61" s="2" t="inlineStr">
        <is>
          <t>drupal</t>
        </is>
      </c>
      <c r="W61" s="2" t="inlineStr">
        <is>
          <t>171</t>
        </is>
      </c>
      <c r="X61" s="2" t="inlineStr">
        <is>
          <t>1</t>
        </is>
      </c>
      <c r="Y61" s="2" t="inlineStr">
        <is>
          <t>yes</t>
        </is>
      </c>
      <c r="Z61" s="2" t="inlineStr"/>
      <c r="AA61" s="2" t="inlineStr"/>
      <c r="AB61" s="2" t="inlineStr">
        <is>
          <t>legacy_drupal_historical</t>
        </is>
      </c>
      <c r="AC61" s="2" t="inlineStr"/>
    </row>
    <row r="62">
      <c r="A62" s="2" t="inlineStr">
        <is>
          <t>drupal-204</t>
        </is>
      </c>
      <c r="B62" s="2" t="inlineStr">
        <is>
          <t>2020</t>
        </is>
      </c>
      <c r="C62" s="2" t="inlineStr"/>
      <c r="D62" s="2" t="inlineStr">
        <is>
          <t>A flexible and swift approach for 3D image–based survey in a cave</t>
        </is>
      </c>
      <c r="E62" s="2" t="inlineStr">
        <is>
          <t>L. Alessandri; Valerio Baiocchi; Silvio Del Pizzo; Fabiana Di Ciaccio; Matteo Onori; M.F. Rolfo; Salvatore Troisi</t>
        </is>
      </c>
      <c r="F62" s="2" t="inlineStr">
        <is>
          <t>Silvio Del Pizzo; Salvatore Troisi</t>
        </is>
      </c>
      <c r="G62" s="2" t="inlineStr">
        <is>
          <t>Journal Article</t>
        </is>
      </c>
      <c r="H62" s="2" t="inlineStr">
        <is>
          <t>Applied Geomatics</t>
        </is>
      </c>
      <c r="I62" s="2" t="inlineStr"/>
      <c r="J62" s="2" t="inlineStr"/>
      <c r="K62" s="2" t="inlineStr"/>
      <c r="L62" s="2" t="inlineStr"/>
      <c r="M62" s="2" t="inlineStr"/>
      <c r="N62" s="2" t="inlineStr"/>
      <c r="O62" s="2" t="inlineStr">
        <is>
          <t>10.1007/s12518-020-00309-4</t>
        </is>
      </c>
      <c r="P62" s="2" t="inlineStr">
        <is>
          <t>10.1007/s12518-020-00309-4</t>
        </is>
      </c>
      <c r="Q62" s="2" t="inlineStr"/>
      <c r="R62" s="2" t="inlineStr"/>
      <c r="S62" s="2" t="inlineStr">
        <is>
          <t>https://www.scopus.com/inward/record.uri?eid=2-s2.0-85084596892&amp;doi=10.1007%2fs12518-020-00309-4&amp;partnerID=40&amp;md5=b4e5eb343d5ab1cdd990f9f70a0466fd</t>
        </is>
      </c>
      <c r="T62" s="2" t="inlineStr"/>
      <c r="U62" s="2" t="inlineStr">
        <is>
          <t>eng</t>
        </is>
      </c>
      <c r="V62" s="2" t="inlineStr">
        <is>
          <t>drupal</t>
        </is>
      </c>
      <c r="W62" s="2" t="inlineStr">
        <is>
          <t>204</t>
        </is>
      </c>
      <c r="X62" s="2" t="inlineStr">
        <is>
          <t>1</t>
        </is>
      </c>
      <c r="Y62" s="2" t="inlineStr">
        <is>
          <t>yes</t>
        </is>
      </c>
      <c r="Z62" s="2" t="inlineStr"/>
      <c r="AA62" s="2" t="inlineStr"/>
      <c r="AB62" s="2" t="inlineStr">
        <is>
          <t>legacy_drupal_historical</t>
        </is>
      </c>
      <c r="AC62" s="2" t="inlineStr"/>
    </row>
    <row r="63">
      <c r="A63" s="2" t="inlineStr">
        <is>
          <t>drupal-161</t>
        </is>
      </c>
      <c r="B63" s="2" t="inlineStr">
        <is>
          <t>2020</t>
        </is>
      </c>
      <c r="C63" s="2" t="inlineStr"/>
      <c r="D63" s="2" t="inlineStr">
        <is>
          <t>A Machine Learning Approach for Walker Identification Using Smartphone Sensors</t>
        </is>
      </c>
      <c r="E63" s="2" t="inlineStr">
        <is>
          <t>Antonio Angrisano; P. Ardimento; M.L. Bernardi; M. Cimitile; Salvatore Gaglione</t>
        </is>
      </c>
      <c r="F63" s="2" t="inlineStr">
        <is>
          <t>Salvatore Gaglione</t>
        </is>
      </c>
      <c r="G63" s="2" t="inlineStr">
        <is>
          <t>Journal Article</t>
        </is>
      </c>
      <c r="H63" s="2" t="inlineStr">
        <is>
          <t>Studies in Computational Intelligence</t>
        </is>
      </c>
      <c r="I63" s="2" t="inlineStr"/>
      <c r="J63" s="2" t="inlineStr"/>
      <c r="K63" s="2" t="inlineStr"/>
      <c r="L63" s="2" t="inlineStr">
        <is>
          <t>880</t>
        </is>
      </c>
      <c r="M63" s="2" t="inlineStr"/>
      <c r="N63" s="2" t="inlineStr">
        <is>
          <t>229-247</t>
        </is>
      </c>
      <c r="O63" s="2" t="inlineStr">
        <is>
          <t>10.1007/978-3-030-36617-9_14</t>
        </is>
      </c>
      <c r="P63" s="2" t="inlineStr">
        <is>
          <t>10.1007/978-3-030-36617-9_14</t>
        </is>
      </c>
      <c r="Q63" s="2" t="inlineStr">
        <is>
          <t>1860949X</t>
        </is>
      </c>
      <c r="R63" s="2" t="inlineStr"/>
      <c r="S63" s="2" t="inlineStr">
        <is>
          <t>https://www.scopus.com/inward/record.uri?eid=2-s2.0-85078103442&amp;doi=10.1007%2f978-3-030-36617-9_14&amp;partnerID=40&amp;md5=d6b9b3418dc0a28bea3cf61f6f4c08c5</t>
        </is>
      </c>
      <c r="T63" s="2" t="inlineStr"/>
      <c r="U63" s="2" t="inlineStr">
        <is>
          <t>eng</t>
        </is>
      </c>
      <c r="V63" s="2" t="inlineStr">
        <is>
          <t>drupal</t>
        </is>
      </c>
      <c r="W63" s="2" t="inlineStr">
        <is>
          <t>161</t>
        </is>
      </c>
      <c r="X63" s="2" t="inlineStr">
        <is>
          <t>1</t>
        </is>
      </c>
      <c r="Y63" s="2" t="inlineStr">
        <is>
          <t>yes</t>
        </is>
      </c>
      <c r="Z63" s="2" t="inlineStr"/>
      <c r="AA63" s="2" t="inlineStr"/>
      <c r="AB63" s="2" t="inlineStr">
        <is>
          <t>legacy_drupal_historical</t>
        </is>
      </c>
      <c r="AC63" s="2" t="inlineStr"/>
    </row>
    <row r="64">
      <c r="A64" s="2" t="inlineStr">
        <is>
          <t>drupal-162</t>
        </is>
      </c>
      <c r="B64" s="2" t="inlineStr">
        <is>
          <t>2020</t>
        </is>
      </c>
      <c r="C64" s="2" t="inlineStr"/>
      <c r="D64" s="2" t="inlineStr">
        <is>
          <t>A new wave spectrum resembling procedure based on ship motion analysis</t>
        </is>
      </c>
      <c r="E64" s="2" t="inlineStr">
        <is>
          <t>Vincenzo Piscopo; Antonio Scamardella; Salvatore Gaglione</t>
        </is>
      </c>
      <c r="F64" s="2" t="inlineStr">
        <is>
          <t>Vincenzo Piscopo; Antonio Scamardella; Salvatore Gaglione</t>
        </is>
      </c>
      <c r="G64" s="2" t="inlineStr">
        <is>
          <t>Journal Article</t>
        </is>
      </c>
      <c r="H64" s="2" t="inlineStr">
        <is>
          <t>Ocean Engineering</t>
        </is>
      </c>
      <c r="I64" s="2" t="inlineStr"/>
      <c r="J64" s="2" t="inlineStr"/>
      <c r="K64" s="2" t="inlineStr"/>
      <c r="L64" s="2" t="inlineStr">
        <is>
          <t>201</t>
        </is>
      </c>
      <c r="M64" s="2" t="inlineStr"/>
      <c r="N64" s="2" t="inlineStr"/>
      <c r="O64" s="2" t="inlineStr">
        <is>
          <t>10.1016/j.oceaneng.2020.107137</t>
        </is>
      </c>
      <c r="P64" s="2" t="inlineStr">
        <is>
          <t>10.1016/j.oceaneng.2020.107137</t>
        </is>
      </c>
      <c r="Q64" s="2" t="inlineStr">
        <is>
          <t>00298018</t>
        </is>
      </c>
      <c r="R64" s="2" t="inlineStr"/>
      <c r="S64" s="2" t="inlineStr">
        <is>
          <t>https://www.scopus.com/inward/record.uri?eid=2-s2.0-85079837856&amp;doi=10.1016%2fj.oceaneng.2020.107137&amp;partnerID=40&amp;md5=a1e0e8d7d2c0a6ab3b7a53fb7151c7a3</t>
        </is>
      </c>
      <c r="T64" s="2" t="inlineStr"/>
      <c r="U64" s="2" t="inlineStr">
        <is>
          <t>eng</t>
        </is>
      </c>
      <c r="V64" s="2" t="inlineStr">
        <is>
          <t>drupal</t>
        </is>
      </c>
      <c r="W64" s="2" t="inlineStr">
        <is>
          <t>162</t>
        </is>
      </c>
      <c r="X64" s="2" t="inlineStr">
        <is>
          <t>1</t>
        </is>
      </c>
      <c r="Y64" s="2" t="inlineStr">
        <is>
          <t>yes</t>
        </is>
      </c>
      <c r="Z64" s="2" t="inlineStr"/>
      <c r="AA64" s="2" t="inlineStr"/>
      <c r="AB64" s="2" t="inlineStr">
        <is>
          <t>legacy_drupal_historical</t>
        </is>
      </c>
      <c r="AC64" s="2" t="inlineStr"/>
    </row>
    <row r="65">
      <c r="A65" s="2" t="inlineStr">
        <is>
          <t>drupal-203</t>
        </is>
      </c>
      <c r="B65" s="2" t="inlineStr">
        <is>
          <t>2020</t>
        </is>
      </c>
      <c r="C65" s="2" t="inlineStr"/>
      <c r="D65" s="2" t="inlineStr">
        <is>
          <t>A Preliminary Study on Attitude Measurement Systems Based on Low Cost Sensors</t>
        </is>
      </c>
      <c r="E65" s="2" t="inlineStr">
        <is>
          <t>Fabiana Di Ciaccio; Salvatore Gaglione; Salvatore Troisi</t>
        </is>
      </c>
      <c r="F65" s="2" t="inlineStr">
        <is>
          <t>Salvatore Gaglione; Salvatore Troisi</t>
        </is>
      </c>
      <c r="G65" s="2" t="inlineStr">
        <is>
          <t>Journal Article</t>
        </is>
      </c>
      <c r="H65" s="2" t="inlineStr">
        <is>
          <t>Communications in Computer and Information Science</t>
        </is>
      </c>
      <c r="I65" s="2" t="inlineStr"/>
      <c r="J65" s="2" t="inlineStr"/>
      <c r="K65" s="2" t="inlineStr"/>
      <c r="L65" s="2" t="inlineStr">
        <is>
          <t>1246</t>
        </is>
      </c>
      <c r="M65" s="2" t="inlineStr"/>
      <c r="N65" s="2" t="inlineStr">
        <is>
          <t>103-115</t>
        </is>
      </c>
      <c r="O65" s="2" t="inlineStr">
        <is>
          <t>10.1007/978-3-030-62800-0_9</t>
        </is>
      </c>
      <c r="P65" s="2" t="inlineStr">
        <is>
          <t>10.1007/978-3-030-62800-0_9</t>
        </is>
      </c>
      <c r="Q65" s="2" t="inlineStr"/>
      <c r="R65" s="2" t="inlineStr"/>
      <c r="S65" s="2" t="inlineStr">
        <is>
          <t>https://www.scopus.com/inward/record.uri?eid=2-s2.0-85097387204&amp;doi=10.1007%2f978-3-030-62800-0_9&amp;partnerID=40&amp;md5=df40a6ba8024aca29b08a45d61cafb52</t>
        </is>
      </c>
      <c r="T65" s="2" t="inlineStr"/>
      <c r="U65" s="2" t="inlineStr">
        <is>
          <t>eng</t>
        </is>
      </c>
      <c r="V65" s="2" t="inlineStr">
        <is>
          <t>drupal</t>
        </is>
      </c>
      <c r="W65" s="2" t="inlineStr">
        <is>
          <t>203</t>
        </is>
      </c>
      <c r="X65" s="2" t="inlineStr">
        <is>
          <t>1</t>
        </is>
      </c>
      <c r="Y65" s="2" t="inlineStr">
        <is>
          <t>yes</t>
        </is>
      </c>
      <c r="Z65" s="2" t="inlineStr"/>
      <c r="AA65" s="2" t="inlineStr"/>
      <c r="AB65" s="2" t="inlineStr">
        <is>
          <t>legacy_drupal_historical</t>
        </is>
      </c>
      <c r="AC65" s="2" t="inlineStr"/>
    </row>
    <row r="66">
      <c r="A66" s="2" t="inlineStr">
        <is>
          <t>drupal-164</t>
        </is>
      </c>
      <c r="B66" s="2" t="inlineStr">
        <is>
          <t>2020</t>
        </is>
      </c>
      <c r="C66" s="2" t="inlineStr"/>
      <c r="D66" s="2" t="inlineStr">
        <is>
          <t>Absolute sea spectrum resampling from encounter wave time history</t>
        </is>
      </c>
      <c r="E66" s="2" t="inlineStr">
        <is>
          <t>Salvatore Gaglione; Silvia Pennino; Vincenzo Piscopo; Antonio Scamardella</t>
        </is>
      </c>
      <c r="F66" s="2" t="inlineStr">
        <is>
          <t>Salvatore Gaglione; Silvia Pennino; Vincenzo Piscopo; Antonio Scamardella</t>
        </is>
      </c>
      <c r="G66" s="2" t="inlineStr">
        <is>
          <t>Conference Paper</t>
        </is>
      </c>
      <c r="H66" s="2" t="inlineStr">
        <is>
          <t>2019 IMEKO TC19 International Workshop on Metrology for the Sea: Learning to Measure Sea Health Parameters, MetroSea 2019</t>
        </is>
      </c>
      <c r="I66" s="2" t="inlineStr"/>
      <c r="J66" s="2" t="inlineStr"/>
      <c r="K66" s="2" t="inlineStr"/>
      <c r="L66" s="2" t="inlineStr"/>
      <c r="M66" s="2" t="inlineStr"/>
      <c r="N66" s="2" t="inlineStr"/>
      <c r="O66" s="2" t="inlineStr"/>
      <c r="P66" s="2" t="inlineStr"/>
      <c r="Q66" s="2" t="inlineStr"/>
      <c r="R66" s="2" t="inlineStr">
        <is>
          <t>9789299008423</t>
        </is>
      </c>
      <c r="S66" s="2" t="inlineStr">
        <is>
          <t>https://www.scopus.com/inward/record.uri?eid=2-s2.0-85081048777&amp;partnerID=40&amp;md5=9d4ba859d16567adf7b39636ebaff725</t>
        </is>
      </c>
      <c r="T66" s="2" t="inlineStr"/>
      <c r="U66" s="2" t="inlineStr">
        <is>
          <t>eng</t>
        </is>
      </c>
      <c r="V66" s="2" t="inlineStr">
        <is>
          <t>drupal</t>
        </is>
      </c>
      <c r="W66" s="2" t="inlineStr">
        <is>
          <t>164</t>
        </is>
      </c>
      <c r="X66" s="2" t="inlineStr">
        <is>
          <t>1</t>
        </is>
      </c>
      <c r="Y66" s="2" t="inlineStr">
        <is>
          <t>yes</t>
        </is>
      </c>
      <c r="Z66" s="2" t="inlineStr">
        <is>
          <t>missing_doi</t>
        </is>
      </c>
      <c r="AA66" s="2" t="inlineStr"/>
      <c r="AB66" s="2" t="inlineStr">
        <is>
          <t>legacy_drupal_historical</t>
        </is>
      </c>
      <c r="AC66" s="2" t="inlineStr"/>
    </row>
    <row r="67">
      <c r="A67" s="2" t="inlineStr">
        <is>
          <t>drupal-201</t>
        </is>
      </c>
      <c r="B67" s="2" t="inlineStr">
        <is>
          <t>2020</t>
        </is>
      </c>
      <c r="C67" s="2" t="inlineStr"/>
      <c r="D67" s="2" t="inlineStr">
        <is>
          <t>Ancient coastal changes due to ground movements and human interventions in the roman portus julius (Pozzuoli Gulf, Italy): Results from photogrammetric and direct surveys</t>
        </is>
      </c>
      <c r="E67" s="2" t="inlineStr">
        <is>
          <t>Pietro PC Aucelli; Gaia Mattei; Claudia Caporizzo; Aldo Cinque; Salvatore Troisi; F. Peluso; M. Stefanile; Gerardo Pappone</t>
        </is>
      </c>
      <c r="F67" s="2" t="inlineStr">
        <is>
          <t>Salvatore Troisi</t>
        </is>
      </c>
      <c r="G67" s="2" t="inlineStr">
        <is>
          <t>Journal Article</t>
        </is>
      </c>
      <c r="H67" s="2" t="inlineStr">
        <is>
          <t>Water (Switzerland)</t>
        </is>
      </c>
      <c r="I67" s="2" t="inlineStr"/>
      <c r="J67" s="2" t="inlineStr"/>
      <c r="K67" s="2" t="inlineStr"/>
      <c r="L67" s="2" t="inlineStr">
        <is>
          <t>12</t>
        </is>
      </c>
      <c r="M67" s="2" t="inlineStr"/>
      <c r="N67" s="2" t="inlineStr"/>
      <c r="O67" s="2" t="inlineStr">
        <is>
          <t>10.3390/w12030658</t>
        </is>
      </c>
      <c r="P67" s="2" t="inlineStr">
        <is>
          <t>10.3390/w12030658</t>
        </is>
      </c>
      <c r="Q67" s="2" t="inlineStr"/>
      <c r="R67" s="2" t="inlineStr"/>
      <c r="S67" s="2" t="inlineStr">
        <is>
          <t>https://www.scopus.com/inward/record.uri?eid=2-s2.0-85082705897&amp;doi=10.3390%2fw12030658&amp;partnerID=40&amp;md5=d9bf0d02274de8fc28558d919b54f019</t>
        </is>
      </c>
      <c r="T67" s="2" t="inlineStr"/>
      <c r="U67" s="2" t="inlineStr">
        <is>
          <t>eng</t>
        </is>
      </c>
      <c r="V67" s="2" t="inlineStr">
        <is>
          <t>drupal</t>
        </is>
      </c>
      <c r="W67" s="2" t="inlineStr">
        <is>
          <t>201</t>
        </is>
      </c>
      <c r="X67" s="2" t="inlineStr">
        <is>
          <t>1</t>
        </is>
      </c>
      <c r="Y67" s="2" t="inlineStr">
        <is>
          <t>yes</t>
        </is>
      </c>
      <c r="Z67" s="2" t="inlineStr">
        <is>
          <t>ambiguous_author:Aucelli, P.P.C.</t>
        </is>
      </c>
      <c r="AA67" s="2" t="inlineStr"/>
      <c r="AB67" s="2" t="inlineStr">
        <is>
          <t>legacy_drupal_historical</t>
        </is>
      </c>
      <c r="AC67" s="2" t="inlineStr"/>
    </row>
    <row r="68">
      <c r="A68" s="2" t="inlineStr">
        <is>
          <t>drupal-221</t>
        </is>
      </c>
      <c r="B68" s="2" t="inlineStr">
        <is>
          <t>2020</t>
        </is>
      </c>
      <c r="C68" s="2" t="inlineStr"/>
      <c r="D68" s="2" t="inlineStr">
        <is>
          <t>Assessment of shoreline detection using UAV</t>
        </is>
      </c>
      <c r="E68" s="2" t="inlineStr">
        <is>
          <t>Silvio Del Pizzo; Antonio Angrisano; Salvatore Gaglione; Salvatore Troisi</t>
        </is>
      </c>
      <c r="F68" s="2" t="inlineStr">
        <is>
          <t>Silvio Del Pizzo; Salvatore Gaglione; Salvatore Troisi</t>
        </is>
      </c>
      <c r="G68" s="2" t="inlineStr">
        <is>
          <t>Conference Paper</t>
        </is>
      </c>
      <c r="H68" s="2" t="inlineStr">
        <is>
          <t>MetroSea 2020 - TC19 International Workshop on Metrology for the Sea</t>
        </is>
      </c>
      <c r="I68" s="2" t="inlineStr"/>
      <c r="J68" s="2" t="inlineStr"/>
      <c r="K68" s="2" t="inlineStr"/>
      <c r="L68" s="2" t="inlineStr"/>
      <c r="M68" s="2" t="inlineStr"/>
      <c r="N68" s="2" t="inlineStr"/>
      <c r="O68" s="2" t="inlineStr"/>
      <c r="P68" s="2" t="inlineStr"/>
      <c r="Q68" s="2" t="inlineStr"/>
      <c r="R68" s="2" t="inlineStr"/>
      <c r="S68" s="2" t="inlineStr">
        <is>
          <t>https://www.scopus.com/inward/record.uri?eid=2-s2.0-85123306702&amp;partnerID=40&amp;md5=a1327b0f2f73c11a700c7c1e82af4feb</t>
        </is>
      </c>
      <c r="T68" s="2" t="inlineStr"/>
      <c r="U68" s="2" t="inlineStr">
        <is>
          <t>eng</t>
        </is>
      </c>
      <c r="V68" s="2" t="inlineStr">
        <is>
          <t>drupal</t>
        </is>
      </c>
      <c r="W68" s="2" t="inlineStr">
        <is>
          <t>221</t>
        </is>
      </c>
      <c r="X68" s="2" t="inlineStr">
        <is>
          <t>1</t>
        </is>
      </c>
      <c r="Y68" s="2" t="inlineStr">
        <is>
          <t>yes</t>
        </is>
      </c>
      <c r="Z68" s="2" t="inlineStr">
        <is>
          <t>ambiguous_author:Pizzo, S.D.; missing_doi</t>
        </is>
      </c>
      <c r="AA68" s="2" t="inlineStr"/>
      <c r="AB68" s="2" t="inlineStr">
        <is>
          <t>legacy_drupal_historical</t>
        </is>
      </c>
      <c r="AC68" s="2" t="inlineStr"/>
    </row>
    <row r="69">
      <c r="A69" s="2" t="inlineStr">
        <is>
          <t>drupal-167</t>
        </is>
      </c>
      <c r="B69" s="2" t="inlineStr">
        <is>
          <t>2020</t>
        </is>
      </c>
      <c r="C69" s="2" t="inlineStr">
        <is>
          <t>2020</t>
        </is>
      </c>
      <c r="D69" s="2" t="inlineStr">
        <is>
          <t>Development of a new ship adaptive weather routing model based on seakeeping analysis and optimization</t>
        </is>
      </c>
      <c r="E69" s="2" t="inlineStr">
        <is>
          <t>Silvia Pennino; Salvatore Gaglione; Anna Innac; Vincenzo Piscopo; Antonio Scamardella</t>
        </is>
      </c>
      <c r="F69" s="2" t="inlineStr">
        <is>
          <t>Silvia Pennino; Salvatore Gaglione; Vincenzo Piscopo; Antonio Scamardella</t>
        </is>
      </c>
      <c r="G69" s="2" t="inlineStr">
        <is>
          <t>Journal Article</t>
        </is>
      </c>
      <c r="H69" s="2" t="inlineStr">
        <is>
          <t>Journal of Marine Science and Engineering</t>
        </is>
      </c>
      <c r="I69" s="2" t="inlineStr"/>
      <c r="J69" s="2" t="inlineStr"/>
      <c r="K69" s="2" t="inlineStr"/>
      <c r="L69" s="2" t="inlineStr">
        <is>
          <t>8</t>
        </is>
      </c>
      <c r="M69" s="2" t="inlineStr">
        <is>
          <t>4</t>
        </is>
      </c>
      <c r="N69" s="2" t="inlineStr"/>
      <c r="O69" s="2" t="inlineStr"/>
      <c r="P69" s="2" t="inlineStr"/>
      <c r="Q69" s="2" t="inlineStr"/>
      <c r="R69" s="2" t="inlineStr">
        <is>
          <t>20771312 (ISSN)</t>
        </is>
      </c>
      <c r="S69" s="2" t="inlineStr">
        <is>
          <t>https://www.scopus.com/inward/record.uri?eid=2-s2.0-85084633120&amp;doi=10.3390%2fJMSE8040270&amp;partnerID=40&amp;md5=73cbf2170e262702db1ad7f10416663a</t>
        </is>
      </c>
      <c r="T69" s="2" t="inlineStr"/>
      <c r="U69" s="2" t="inlineStr">
        <is>
          <t>eng</t>
        </is>
      </c>
      <c r="V69" s="2" t="inlineStr">
        <is>
          <t>drupal</t>
        </is>
      </c>
      <c r="W69" s="2" t="inlineStr">
        <is>
          <t>167</t>
        </is>
      </c>
      <c r="X69" s="2" t="inlineStr">
        <is>
          <t>1</t>
        </is>
      </c>
      <c r="Y69" s="2" t="inlineStr">
        <is>
          <t>yes</t>
        </is>
      </c>
      <c r="Z69" s="2" t="inlineStr">
        <is>
          <t>missing_doi</t>
        </is>
      </c>
      <c r="AA69" s="2" t="inlineStr"/>
      <c r="AB69" s="2" t="inlineStr">
        <is>
          <t>legacy_drupal_historical</t>
        </is>
      </c>
      <c r="AC69" s="2" t="inlineStr"/>
    </row>
    <row r="70">
      <c r="A70" s="2" t="inlineStr">
        <is>
          <t>drupal-163</t>
        </is>
      </c>
      <c r="B70" s="2" t="inlineStr">
        <is>
          <t>2020</t>
        </is>
      </c>
      <c r="C70" s="2" t="inlineStr"/>
      <c r="D70" s="2" t="inlineStr">
        <is>
          <t>GPS precise positioning techniques for remote marine applications</t>
        </is>
      </c>
      <c r="E70" s="2" t="inlineStr">
        <is>
          <t>Anna Innac; Antonio Angrisano; Salvatore Gaglione; N. Crocetto</t>
        </is>
      </c>
      <c r="F70" s="2" t="inlineStr">
        <is>
          <t>Salvatore Gaglione</t>
        </is>
      </c>
      <c r="G70" s="2" t="inlineStr">
        <is>
          <t>Conference Paper</t>
        </is>
      </c>
      <c r="H70" s="2" t="inlineStr">
        <is>
          <t>2019 IMEKO TC19 International Workshop on Metrology for the Sea: Learning to Measure Sea Health Parameters, MetroSea 2019</t>
        </is>
      </c>
      <c r="I70" s="2" t="inlineStr"/>
      <c r="J70" s="2" t="inlineStr"/>
      <c r="K70" s="2" t="inlineStr"/>
      <c r="L70" s="2" t="inlineStr"/>
      <c r="M70" s="2" t="inlineStr"/>
      <c r="N70" s="2" t="inlineStr"/>
      <c r="O70" s="2" t="inlineStr"/>
      <c r="P70" s="2" t="inlineStr"/>
      <c r="Q70" s="2" t="inlineStr"/>
      <c r="R70" s="2" t="inlineStr">
        <is>
          <t>9789299008423</t>
        </is>
      </c>
      <c r="S70" s="2" t="inlineStr">
        <is>
          <t>https://www.scopus.com/inward/record.uri?eid=2-s2.0-85081056598&amp;partnerID=40&amp;md5=e70d4becb4ed1549b1a700a1708cab1d</t>
        </is>
      </c>
      <c r="T70" s="2" t="inlineStr"/>
      <c r="U70" s="2" t="inlineStr">
        <is>
          <t>eng</t>
        </is>
      </c>
      <c r="V70" s="2" t="inlineStr">
        <is>
          <t>drupal</t>
        </is>
      </c>
      <c r="W70" s="2" t="inlineStr">
        <is>
          <t>163</t>
        </is>
      </c>
      <c r="X70" s="2" t="inlineStr">
        <is>
          <t>1</t>
        </is>
      </c>
      <c r="Y70" s="2" t="inlineStr">
        <is>
          <t>yes</t>
        </is>
      </c>
      <c r="Z70" s="2" t="inlineStr">
        <is>
          <t>missing_doi</t>
        </is>
      </c>
      <c r="AA70" s="2" t="inlineStr"/>
      <c r="AB70" s="2" t="inlineStr">
        <is>
          <t>legacy_drupal_historical</t>
        </is>
      </c>
      <c r="AC70" s="2" t="inlineStr"/>
    </row>
    <row r="71">
      <c r="A71" s="2" t="inlineStr">
        <is>
          <t>drupal-165</t>
        </is>
      </c>
      <c r="B71" s="2" t="inlineStr">
        <is>
          <t>2020</t>
        </is>
      </c>
      <c r="C71" s="2" t="inlineStr"/>
      <c r="D71" s="2" t="inlineStr">
        <is>
          <t>Identification of Walker Identity Using Smartphone Sensors: An Experiment Using Ensemble Learning</t>
        </is>
      </c>
      <c r="E71" s="2" t="inlineStr">
        <is>
          <t>Antonio Angrisano; M.L. Bernardi; M. Cimitile; Salvatore Gaglione; Mario Vultaggio</t>
        </is>
      </c>
      <c r="F71" s="2" t="inlineStr">
        <is>
          <t>Salvatore Gaglione</t>
        </is>
      </c>
      <c r="G71" s="2" t="inlineStr">
        <is>
          <t>Journal Article</t>
        </is>
      </c>
      <c r="H71" s="2" t="inlineStr">
        <is>
          <t>IEEE Access</t>
        </is>
      </c>
      <c r="I71" s="2" t="inlineStr"/>
      <c r="J71" s="2" t="inlineStr"/>
      <c r="K71" s="2" t="inlineStr"/>
      <c r="L71" s="2" t="inlineStr">
        <is>
          <t>8</t>
        </is>
      </c>
      <c r="M71" s="2" t="inlineStr"/>
      <c r="N71" s="2" t="inlineStr">
        <is>
          <t>27435-27447</t>
        </is>
      </c>
      <c r="O71" s="2" t="inlineStr">
        <is>
          <t>10.1109/ACCESS.2020.2971693</t>
        </is>
      </c>
      <c r="P71" s="2" t="inlineStr">
        <is>
          <t>10.1109/ACCESS.2020.2971693</t>
        </is>
      </c>
      <c r="Q71" s="2" t="inlineStr">
        <is>
          <t>21693536</t>
        </is>
      </c>
      <c r="R71" s="2" t="inlineStr"/>
      <c r="S71" s="2" t="inlineStr">
        <is>
          <t>https://www.scopus.com/inward/record.uri?eid=2-s2.0-85081113005&amp;doi=10.1109%2fACCESS.2020.2971693&amp;partnerID=40&amp;md5=6df7e32b9ef02594f961428d88e5abc3</t>
        </is>
      </c>
      <c r="T71" s="2" t="inlineStr"/>
      <c r="U71" s="2" t="inlineStr">
        <is>
          <t>eng</t>
        </is>
      </c>
      <c r="V71" s="2" t="inlineStr">
        <is>
          <t>drupal</t>
        </is>
      </c>
      <c r="W71" s="2" t="inlineStr">
        <is>
          <t>165</t>
        </is>
      </c>
      <c r="X71" s="2" t="inlineStr">
        <is>
          <t>1</t>
        </is>
      </c>
      <c r="Y71" s="2" t="inlineStr">
        <is>
          <t>yes</t>
        </is>
      </c>
      <c r="Z71" s="2" t="inlineStr"/>
      <c r="AA71" s="2" t="inlineStr"/>
      <c r="AB71" s="2" t="inlineStr">
        <is>
          <t>legacy_drupal_historical</t>
        </is>
      </c>
      <c r="AC71" s="2" t="inlineStr"/>
    </row>
    <row r="72">
      <c r="A72" s="2" t="inlineStr">
        <is>
          <t>drupal-202</t>
        </is>
      </c>
      <c r="B72" s="2" t="inlineStr">
        <is>
          <t>2020</t>
        </is>
      </c>
      <c r="C72" s="2" t="inlineStr"/>
      <c r="D72" s="2" t="inlineStr">
        <is>
          <t>Innovative Technologies for Coastal Paleo-Landscape Reconstruction and Paleo-Sea Level Measuring</t>
        </is>
      </c>
      <c r="E72" s="2" t="inlineStr">
        <is>
          <t>Gaia Mattei; Pietro PC Aucelli; Claudia Caporizzo; F. Peluso; Gerardo Pappone; Salvatore Troisi</t>
        </is>
      </c>
      <c r="F72" s="2" t="inlineStr">
        <is>
          <t>Salvatore Troisi</t>
        </is>
      </c>
      <c r="G72" s="2" t="inlineStr">
        <is>
          <t>Journal Article</t>
        </is>
      </c>
      <c r="H72" s="2" t="inlineStr">
        <is>
          <t>Communications in Computer and Information Science</t>
        </is>
      </c>
      <c r="I72" s="2" t="inlineStr"/>
      <c r="J72" s="2" t="inlineStr"/>
      <c r="K72" s="2" t="inlineStr"/>
      <c r="L72" s="2" t="inlineStr">
        <is>
          <t>1246</t>
        </is>
      </c>
      <c r="M72" s="2" t="inlineStr"/>
      <c r="N72" s="2" t="inlineStr">
        <is>
          <t>244-255</t>
        </is>
      </c>
      <c r="O72" s="2" t="inlineStr">
        <is>
          <t>10.1007/978-3-030-62800-0_19</t>
        </is>
      </c>
      <c r="P72" s="2" t="inlineStr">
        <is>
          <t>10.1007/978-3-030-62800-0_19</t>
        </is>
      </c>
      <c r="Q72" s="2" t="inlineStr"/>
      <c r="R72" s="2" t="inlineStr"/>
      <c r="S72" s="2" t="inlineStr">
        <is>
          <t>https://www.scopus.com/inward/record.uri?eid=2-s2.0-85097429704&amp;doi=10.1007%2f978-3-030-62800-0_19&amp;partnerID=40&amp;md5=7f1c19ead6e5a2f361a9b5e9b2f99b6f</t>
        </is>
      </c>
      <c r="T72" s="2" t="inlineStr"/>
      <c r="U72" s="2" t="inlineStr">
        <is>
          <t>eng</t>
        </is>
      </c>
      <c r="V72" s="2" t="inlineStr">
        <is>
          <t>drupal</t>
        </is>
      </c>
      <c r="W72" s="2" t="inlineStr">
        <is>
          <t>202</t>
        </is>
      </c>
      <c r="X72" s="2" t="inlineStr">
        <is>
          <t>1</t>
        </is>
      </c>
      <c r="Y72" s="2" t="inlineStr">
        <is>
          <t>yes</t>
        </is>
      </c>
      <c r="Z72" s="2" t="inlineStr">
        <is>
          <t>ambiguous_author:Aucelli, P.P.C.</t>
        </is>
      </c>
      <c r="AA72" s="2" t="inlineStr"/>
      <c r="AB72" s="2" t="inlineStr">
        <is>
          <t>legacy_drupal_historical</t>
        </is>
      </c>
      <c r="AC72" s="2" t="inlineStr"/>
    </row>
    <row r="73">
      <c r="A73" s="2" t="inlineStr">
        <is>
          <t>drupal-198</t>
        </is>
      </c>
      <c r="B73" s="2" t="inlineStr">
        <is>
          <t>2020</t>
        </is>
      </c>
      <c r="C73" s="2" t="inlineStr"/>
      <c r="D73" s="2" t="inlineStr">
        <is>
          <t>Integrated geomatic techniques for georeferencing and reconstructing the position of underground archaeological sites: The case study of the augustus sundial (rome)</t>
        </is>
      </c>
      <c r="E73" s="2" t="inlineStr">
        <is>
          <t>Valerio Baiocchi; R. Brigante; Silvio Del Pizzo; F. Giannone; Matteo Onori; F. Radicioni; A. Stoppini; G. Tosi; Salvatore Troisi; M. Baumgartner</t>
        </is>
      </c>
      <c r="F73" s="2" t="inlineStr">
        <is>
          <t>Silvio Del Pizzo; Salvatore Troisi</t>
        </is>
      </c>
      <c r="G73" s="2" t="inlineStr">
        <is>
          <t>Journal Article</t>
        </is>
      </c>
      <c r="H73" s="2" t="inlineStr">
        <is>
          <t>Remote Sensing</t>
        </is>
      </c>
      <c r="I73" s="2" t="inlineStr"/>
      <c r="J73" s="2" t="inlineStr"/>
      <c r="K73" s="2" t="inlineStr"/>
      <c r="L73" s="2" t="inlineStr">
        <is>
          <t>12</t>
        </is>
      </c>
      <c r="M73" s="2" t="inlineStr"/>
      <c r="N73" s="2" t="inlineStr">
        <is>
          <t>1-17</t>
        </is>
      </c>
      <c r="O73" s="2" t="inlineStr">
        <is>
          <t>10.3390/rs12244064</t>
        </is>
      </c>
      <c r="P73" s="2" t="inlineStr">
        <is>
          <t>10.3390/rs12244064</t>
        </is>
      </c>
      <c r="Q73" s="2" t="inlineStr"/>
      <c r="R73" s="2" t="inlineStr"/>
      <c r="S73" s="2" t="inlineStr">
        <is>
          <t>https://www.scopus.com/inward/record.uri?eid=2-s2.0-85098263076&amp;doi=10.3390%2frs12244064&amp;partnerID=40&amp;md5=72ed63037764b198293a3607405fc641</t>
        </is>
      </c>
      <c r="T73" s="2" t="inlineStr"/>
      <c r="U73" s="2" t="inlineStr">
        <is>
          <t>eng</t>
        </is>
      </c>
      <c r="V73" s="2" t="inlineStr">
        <is>
          <t>drupal</t>
        </is>
      </c>
      <c r="W73" s="2" t="inlineStr">
        <is>
          <t>198</t>
        </is>
      </c>
      <c r="X73" s="2" t="inlineStr">
        <is>
          <t>1</t>
        </is>
      </c>
      <c r="Y73" s="2" t="inlineStr">
        <is>
          <t>yes</t>
        </is>
      </c>
      <c r="Z73" s="2" t="inlineStr"/>
      <c r="AA73" s="2" t="inlineStr"/>
      <c r="AB73" s="2" t="inlineStr">
        <is>
          <t>legacy_drupal_historical</t>
        </is>
      </c>
      <c r="AC73" s="2" t="inlineStr"/>
    </row>
    <row r="74">
      <c r="A74" s="2" t="inlineStr">
        <is>
          <t>drupal-169</t>
        </is>
      </c>
      <c r="B74" s="2" t="inlineStr">
        <is>
          <t>2020</t>
        </is>
      </c>
      <c r="C74" s="2" t="inlineStr">
        <is>
          <t>2020/05/11</t>
        </is>
      </c>
      <c r="D74" s="2" t="inlineStr">
        <is>
          <t>Machine learning based LOS/NLOS classifier and robust estimator for GNSS shadow matching</t>
        </is>
      </c>
      <c r="E74" s="2" t="inlineStr">
        <is>
          <t>Haosheng Xu; Antonio Angrisano; Salvatore Gaglione; Li-Ta Hsu</t>
        </is>
      </c>
      <c r="F74" s="2" t="inlineStr">
        <is>
          <t>Salvatore Gaglione</t>
        </is>
      </c>
      <c r="G74" s="2" t="inlineStr">
        <is>
          <t>Journal Article</t>
        </is>
      </c>
      <c r="H74" s="2" t="inlineStr"/>
      <c r="I74" s="2" t="inlineStr"/>
      <c r="J74" s="2" t="inlineStr"/>
      <c r="K74" s="2" t="inlineStr"/>
      <c r="L74" s="2" t="inlineStr">
        <is>
          <t>1</t>
        </is>
      </c>
      <c r="M74" s="2" t="inlineStr">
        <is>
          <t>1</t>
        </is>
      </c>
      <c r="N74" s="2" t="inlineStr">
        <is>
          <t>15</t>
        </is>
      </c>
      <c r="O74" s="2" t="inlineStr"/>
      <c r="P74" s="2" t="inlineStr"/>
      <c r="Q74" s="2" t="inlineStr"/>
      <c r="R74" s="2" t="inlineStr">
        <is>
          <t>2662-1363</t>
        </is>
      </c>
      <c r="S74" s="2" t="inlineStr">
        <is>
          <t>https://doi.org/10.1186/s43020-020-00016-w</t>
        </is>
      </c>
      <c r="T74" s="2" t="inlineStr">
        <is>
          <t>Global Navigation Satellites Systems (GNSS) is frequently used for positioning services in various applications, e.g., pedestrian and vehicular navigation. However, it is well-known that GNSS positioning performs unreliably in urban environments. GNSS shadow matching is a method of improving accuracy in the cross-street direction. Initial position and classification of observed satellite visibility between line-of-sight (LOS) and non-line-of-sight (NLOS) are essential for its performance. For the conventional LOS/NLOS classification, the classifiers are based on a single feature, extracted from raw GNSS measurements, such as signal noise ratio, pseudorange, elevation angle, etc. Especially in urban canyons, these measurements are unstable and unreliable due to the signal reflection and refraction from the surrounding buildings. Besides, the conventional least square approach for positioning is insufficient to provide accurate initialization for shadow matching in urban areas. In our study, shadow matching is improved using the initial position from robust estimator and the satellite visibility determined by support vector machine (SVM). The robust estimator has an improved positioning accuracy and the classification rate of SVM classification can reach 91.5% in urban scenarios. An important issue is related to satellites with ultra-high or low elevation angles and satellites near the building boundary that are very likely to be misclassified. By solving this problem, the SVM classification shows the potential of about 90% classification accuracy for various urban cases. With the help of these approaches, the shadow matching has a mean error of 10.27 m with 1.44 m in the cross-street direction; these performances are suitable for urban positioning.</t>
        </is>
      </c>
      <c r="U74" s="2" t="inlineStr">
        <is>
          <t>eng</t>
        </is>
      </c>
      <c r="V74" s="2" t="inlineStr">
        <is>
          <t>drupal</t>
        </is>
      </c>
      <c r="W74" s="2" t="inlineStr">
        <is>
          <t>169</t>
        </is>
      </c>
      <c r="X74" s="2" t="inlineStr">
        <is>
          <t>1</t>
        </is>
      </c>
      <c r="Y74" s="2" t="inlineStr">
        <is>
          <t>yes</t>
        </is>
      </c>
      <c r="Z74" s="2" t="inlineStr">
        <is>
          <t>missing_doi</t>
        </is>
      </c>
      <c r="AA74" s="2" t="inlineStr"/>
      <c r="AB74" s="2" t="inlineStr">
        <is>
          <t>legacy_drupal_historical</t>
        </is>
      </c>
      <c r="AC74" s="2" t="inlineStr"/>
    </row>
    <row r="75">
      <c r="A75" s="2" t="inlineStr">
        <is>
          <t>drupal-159</t>
        </is>
      </c>
      <c r="B75" s="2" t="inlineStr">
        <is>
          <t>2020</t>
        </is>
      </c>
      <c r="C75" s="2" t="inlineStr"/>
      <c r="D75" s="2" t="inlineStr">
        <is>
          <t>PANG-NAV: a tool for processing GNSS measurements in SPP, including RAIM functionality</t>
        </is>
      </c>
      <c r="E75" s="2" t="inlineStr">
        <is>
          <t>Antonio Angrisano; Salvatore Gaglione; N. Crocetto; Mario Vultaggio</t>
        </is>
      </c>
      <c r="F75" s="2" t="inlineStr">
        <is>
          <t>Salvatore Gaglione</t>
        </is>
      </c>
      <c r="G75" s="2" t="inlineStr">
        <is>
          <t>Journal Article</t>
        </is>
      </c>
      <c r="H75" s="2" t="inlineStr">
        <is>
          <t>GPS Solutions</t>
        </is>
      </c>
      <c r="I75" s="2" t="inlineStr"/>
      <c r="J75" s="2" t="inlineStr"/>
      <c r="K75" s="2" t="inlineStr"/>
      <c r="L75" s="2" t="inlineStr">
        <is>
          <t>24</t>
        </is>
      </c>
      <c r="M75" s="2" t="inlineStr"/>
      <c r="N75" s="2" t="inlineStr"/>
      <c r="O75" s="2" t="inlineStr">
        <is>
          <t>10.1007/s10291-019-0935-y</t>
        </is>
      </c>
      <c r="P75" s="2" t="inlineStr">
        <is>
          <t>10.1007/s10291-019-0935-y</t>
        </is>
      </c>
      <c r="Q75" s="2" t="inlineStr">
        <is>
          <t>10805370</t>
        </is>
      </c>
      <c r="R75" s="2" t="inlineStr"/>
      <c r="S75" s="2" t="inlineStr">
        <is>
          <t>https://www.scopus.com/inward/record.uri?eid=2-s2.0-85075862495&amp;doi=10.1007%2fs10291-019-0935-y&amp;partnerID=40&amp;md5=5384d59813e59778298757bc15fbfe3b</t>
        </is>
      </c>
      <c r="T75" s="2" t="inlineStr"/>
      <c r="U75" s="2" t="inlineStr">
        <is>
          <t>eng</t>
        </is>
      </c>
      <c r="V75" s="2" t="inlineStr">
        <is>
          <t>drupal</t>
        </is>
      </c>
      <c r="W75" s="2" t="inlineStr">
        <is>
          <t>159</t>
        </is>
      </c>
      <c r="X75" s="2" t="inlineStr">
        <is>
          <t>1</t>
        </is>
      </c>
      <c r="Y75" s="2" t="inlineStr">
        <is>
          <t>yes</t>
        </is>
      </c>
      <c r="Z75" s="2" t="inlineStr"/>
      <c r="AA75" s="2" t="inlineStr"/>
      <c r="AB75" s="2" t="inlineStr">
        <is>
          <t>legacy_drupal_historical</t>
        </is>
      </c>
      <c r="AC75" s="2" t="inlineStr"/>
    </row>
    <row r="76">
      <c r="A76" s="2" t="inlineStr">
        <is>
          <t>drupal-170</t>
        </is>
      </c>
      <c r="B76" s="2" t="inlineStr">
        <is>
          <t>2020</t>
        </is>
      </c>
      <c r="C76" s="2" t="inlineStr"/>
      <c r="D76" s="2" t="inlineStr">
        <is>
          <t>Performance assessment of PPP surveys with open source software using the GNSS GPS-GLONASS-Galileo constellations</t>
        </is>
      </c>
      <c r="E76" s="2" t="inlineStr">
        <is>
          <t>Antonio Angrisano; G. Dardanelli; Anna Innac; A. Pisciotta; C. Pipitone; Salvatore Gaglione</t>
        </is>
      </c>
      <c r="F76" s="2" t="inlineStr">
        <is>
          <t>Salvatore Gaglione</t>
        </is>
      </c>
      <c r="G76" s="2" t="inlineStr">
        <is>
          <t>Journal Article</t>
        </is>
      </c>
      <c r="H76" s="2" t="inlineStr">
        <is>
          <t>Applied Sciences (Switzerland)</t>
        </is>
      </c>
      <c r="I76" s="2" t="inlineStr"/>
      <c r="J76" s="2" t="inlineStr"/>
      <c r="K76" s="2" t="inlineStr"/>
      <c r="L76" s="2" t="inlineStr">
        <is>
          <t>10</t>
        </is>
      </c>
      <c r="M76" s="2" t="inlineStr"/>
      <c r="N76" s="2" t="inlineStr"/>
      <c r="O76" s="2" t="inlineStr">
        <is>
          <t>10.3390/APP10165420</t>
        </is>
      </c>
      <c r="P76" s="2" t="inlineStr">
        <is>
          <t>10.3390/APP10165420</t>
        </is>
      </c>
      <c r="Q76" s="2" t="inlineStr">
        <is>
          <t>20763417</t>
        </is>
      </c>
      <c r="R76" s="2" t="inlineStr"/>
      <c r="S76" s="2" t="inlineStr">
        <is>
          <t>https://www.scopus.com/inward/record.uri?eid=2-s2.0-85089897851&amp;doi=10.3390%2fAPP10165420&amp;partnerID=40&amp;md5=840e9e4b552a1db3893cbd9690964200</t>
        </is>
      </c>
      <c r="T76" s="2" t="inlineStr"/>
      <c r="U76" s="2" t="inlineStr">
        <is>
          <t>eng</t>
        </is>
      </c>
      <c r="V76" s="2" t="inlineStr">
        <is>
          <t>drupal</t>
        </is>
      </c>
      <c r="W76" s="2" t="inlineStr">
        <is>
          <t>170</t>
        </is>
      </c>
      <c r="X76" s="2" t="inlineStr">
        <is>
          <t>1</t>
        </is>
      </c>
      <c r="Y76" s="2" t="inlineStr">
        <is>
          <t>yes</t>
        </is>
      </c>
      <c r="Z76" s="2" t="inlineStr"/>
      <c r="AA76" s="2" t="inlineStr"/>
      <c r="AB76" s="2" t="inlineStr">
        <is>
          <t>legacy_drupal_historical</t>
        </is>
      </c>
      <c r="AC76" s="2" t="inlineStr"/>
    </row>
    <row r="77">
      <c r="A77" s="2" t="inlineStr">
        <is>
          <t>drupal-222</t>
        </is>
      </c>
      <c r="B77" s="2" t="inlineStr">
        <is>
          <t>2020</t>
        </is>
      </c>
      <c r="C77" s="2" t="inlineStr"/>
      <c r="D77" s="2" t="inlineStr">
        <is>
          <t>Sea state monitoring based on ship motion measurements onboard an icebreaker in the Antarctic waters</t>
        </is>
      </c>
      <c r="E77" s="2" t="inlineStr">
        <is>
          <t>Silvia Pennino; Antonio Angrisano; Salvatore Gaglione; Anna Innac; Vincenzo Piscopo; Antonio Scamardella</t>
        </is>
      </c>
      <c r="F77" s="2" t="inlineStr">
        <is>
          <t>Silvia Pennino; Salvatore Gaglione; Vincenzo Piscopo; Antonio Scamardella</t>
        </is>
      </c>
      <c r="G77" s="2" t="inlineStr">
        <is>
          <t>Conference Paper</t>
        </is>
      </c>
      <c r="H77" s="2" t="inlineStr">
        <is>
          <t>MetroSea 2020 - TC19 International Workshop on Metrology for the Sea</t>
        </is>
      </c>
      <c r="I77" s="2" t="inlineStr"/>
      <c r="J77" s="2" t="inlineStr"/>
      <c r="K77" s="2" t="inlineStr"/>
      <c r="L77" s="2" t="inlineStr"/>
      <c r="M77" s="2" t="inlineStr"/>
      <c r="N77" s="2" t="inlineStr"/>
      <c r="O77" s="2" t="inlineStr"/>
      <c r="P77" s="2" t="inlineStr"/>
      <c r="Q77" s="2" t="inlineStr"/>
      <c r="R77" s="2" t="inlineStr"/>
      <c r="S77" s="2" t="inlineStr">
        <is>
          <t>https://www.scopus.com/inward/record.uri?eid=2-s2.0-85123284262&amp;partnerID=40&amp;md5=3dfc9622ecf64d700fc7bad350f9b1d1</t>
        </is>
      </c>
      <c r="T77" s="2" t="inlineStr"/>
      <c r="U77" s="2" t="inlineStr">
        <is>
          <t>eng</t>
        </is>
      </c>
      <c r="V77" s="2" t="inlineStr">
        <is>
          <t>drupal</t>
        </is>
      </c>
      <c r="W77" s="2" t="inlineStr">
        <is>
          <t>222</t>
        </is>
      </c>
      <c r="X77" s="2" t="inlineStr">
        <is>
          <t>1</t>
        </is>
      </c>
      <c r="Y77" s="2" t="inlineStr">
        <is>
          <t>yes</t>
        </is>
      </c>
      <c r="Z77" s="2" t="inlineStr">
        <is>
          <t>missing_doi</t>
        </is>
      </c>
      <c r="AA77" s="2" t="inlineStr"/>
      <c r="AB77" s="2" t="inlineStr">
        <is>
          <t>legacy_drupal_historical</t>
        </is>
      </c>
      <c r="AC77" s="2" t="inlineStr"/>
    </row>
    <row r="78">
      <c r="A78" s="2" t="inlineStr">
        <is>
          <t>drupal-200</t>
        </is>
      </c>
      <c r="B78" s="2" t="inlineStr">
        <is>
          <t>2020</t>
        </is>
      </c>
      <c r="C78" s="2" t="inlineStr"/>
      <c r="D78" s="2" t="inlineStr">
        <is>
          <t>THE FUSION of EXTERNAL and INTERNAL 3D PHOTOGRAMMETRIC MODELS AS A TOOL to INVESTIGATE the ANCIENT HUMAN/CAVE INTERACTION: The la SASSA CASE STUDY</t>
        </is>
      </c>
      <c r="E78" s="2" t="inlineStr">
        <is>
          <t>L. Alessandri; Valerio Baiocchi; Silvio Del Pizzo; Fabiana Di Ciaccio; Matteo Onori; M.F. Rolfo; Salvatore Troisi</t>
        </is>
      </c>
      <c r="F78" s="2" t="inlineStr">
        <is>
          <t>Silvio Del Pizzo; Salvatore Troisi</t>
        </is>
      </c>
      <c r="G78" s="2" t="inlineStr">
        <is>
          <t>Conference Paper</t>
        </is>
      </c>
      <c r="H78" s="2" t="inlineStr">
        <is>
          <t>International Archives of the Photogrammetry, Remote Sensing and Spatial Information Sciences - ISPRS Archives</t>
        </is>
      </c>
      <c r="I78" s="2" t="inlineStr"/>
      <c r="J78" s="2" t="inlineStr"/>
      <c r="K78" s="2" t="inlineStr"/>
      <c r="L78" s="2" t="inlineStr"/>
      <c r="M78" s="2" t="inlineStr"/>
      <c r="N78" s="2" t="inlineStr"/>
      <c r="O78" s="2" t="inlineStr">
        <is>
          <t>10.5194/isprs-archives-XLIII-B2-2020-1443-2020</t>
        </is>
      </c>
      <c r="P78" s="2" t="inlineStr">
        <is>
          <t>10.5194/isprs-archives-XLIII-B2-2020-1443-2020</t>
        </is>
      </c>
      <c r="Q78" s="2" t="inlineStr"/>
      <c r="R78" s="2" t="inlineStr"/>
      <c r="S78" s="2" t="inlineStr">
        <is>
          <t>https://www.scopus.com/inward/record.uri?eid=2-s2.0-85091071189&amp;doi=10.5194%2fisprs-archives-XLIII-B2-2020-1443-2020&amp;partnerID=40&amp;md5=e421ade7c6546555e9b8d1fd5d8838c9</t>
        </is>
      </c>
      <c r="T78" s="2" t="inlineStr"/>
      <c r="U78" s="2" t="inlineStr">
        <is>
          <t>eng</t>
        </is>
      </c>
      <c r="V78" s="2" t="inlineStr">
        <is>
          <t>drupal</t>
        </is>
      </c>
      <c r="W78" s="2" t="inlineStr">
        <is>
          <t>200</t>
        </is>
      </c>
      <c r="X78" s="2" t="inlineStr">
        <is>
          <t>1</t>
        </is>
      </c>
      <c r="Y78" s="2" t="inlineStr">
        <is>
          <t>yes</t>
        </is>
      </c>
      <c r="Z78" s="2" t="inlineStr"/>
      <c r="AA78" s="2" t="inlineStr"/>
      <c r="AB78" s="2" t="inlineStr">
        <is>
          <t>legacy_drupal_historical</t>
        </is>
      </c>
      <c r="AC78" s="2" t="inlineStr"/>
    </row>
    <row r="79">
      <c r="A79" s="2" t="inlineStr">
        <is>
          <t>drupal-199</t>
        </is>
      </c>
      <c r="B79" s="2" t="inlineStr">
        <is>
          <t>2020</t>
        </is>
      </c>
      <c r="C79" s="2" t="inlineStr"/>
      <c r="D79" s="2" t="inlineStr">
        <is>
          <t>Use of the sensors of a latest generation mobile phone for the three-dimensional reconstruction of an archaeological monument: The survey of the Intihuatana stone in Machu Picchu (Peru')</t>
        </is>
      </c>
      <c r="E79" s="2" t="inlineStr">
        <is>
          <t>Valerio Baiocchi; Silvio Del Pizzo; Giovanni Pugliano; Matteo Onori; Umberto Robustelli; Salvatore Troisi; Felicia Vatore; F.J. León Trujillo</t>
        </is>
      </c>
      <c r="F79" s="2" t="inlineStr">
        <is>
          <t>Silvio Del Pizzo; Salvatore Troisi</t>
        </is>
      </c>
      <c r="G79" s="2" t="inlineStr">
        <is>
          <t>Conference Paper</t>
        </is>
      </c>
      <c r="H79" s="2" t="inlineStr">
        <is>
          <t>IOP Conference Series: Materials Science and Engineering</t>
        </is>
      </c>
      <c r="I79" s="2" t="inlineStr"/>
      <c r="J79" s="2" t="inlineStr"/>
      <c r="K79" s="2" t="inlineStr"/>
      <c r="L79" s="2" t="inlineStr"/>
      <c r="M79" s="2" t="inlineStr"/>
      <c r="N79" s="2" t="inlineStr"/>
      <c r="O79" s="2" t="inlineStr">
        <is>
          <t>10.1088/1757-899X/949/1/012106</t>
        </is>
      </c>
      <c r="P79" s="2" t="inlineStr">
        <is>
          <t>10.1088/1757-899X/949/1/012106</t>
        </is>
      </c>
      <c r="Q79" s="2" t="inlineStr"/>
      <c r="R79" s="2" t="inlineStr"/>
      <c r="S79" s="2" t="inlineStr">
        <is>
          <t>https://www.scopus.com/inward/record.uri?eid=2-s2.0-85096880615&amp;doi=10.1088%2f1757-899X%2f949%2f1%2f012106&amp;partnerID=40&amp;md5=a6379a25e3e08aabb241ca4063a4af96</t>
        </is>
      </c>
      <c r="T79" s="2" t="inlineStr"/>
      <c r="U79" s="2" t="inlineStr">
        <is>
          <t>eng</t>
        </is>
      </c>
      <c r="V79" s="2" t="inlineStr">
        <is>
          <t>drupal</t>
        </is>
      </c>
      <c r="W79" s="2" t="inlineStr">
        <is>
          <t>199</t>
        </is>
      </c>
      <c r="X79" s="2" t="inlineStr">
        <is>
          <t>1</t>
        </is>
      </c>
      <c r="Y79" s="2" t="inlineStr">
        <is>
          <t>yes</t>
        </is>
      </c>
      <c r="Z79" s="2" t="inlineStr"/>
      <c r="AA79" s="2" t="inlineStr"/>
      <c r="AB79" s="2" t="inlineStr">
        <is>
          <t>legacy_drupal_historical</t>
        </is>
      </c>
      <c r="AC79" s="2" t="inlineStr"/>
    </row>
    <row r="80">
      <c r="A80" s="2" t="inlineStr">
        <is>
          <t>drupal-154</t>
        </is>
      </c>
      <c r="B80" s="2" t="inlineStr">
        <is>
          <t>2019</t>
        </is>
      </c>
      <c r="C80" s="2" t="inlineStr"/>
      <c r="D80" s="2" t="inlineStr">
        <is>
          <t>Fuzzy logic applied to GNSS</t>
        </is>
      </c>
      <c r="E80" s="2" t="inlineStr">
        <is>
          <t>Salvatore Gaglione; Antonio Angrisano; Anna Innac; Silvio Del Pizzo; Antonio Maratea</t>
        </is>
      </c>
      <c r="F80" s="2" t="inlineStr">
        <is>
          <t>Salvatore Gaglione; Silvio Del Pizzo</t>
        </is>
      </c>
      <c r="G80" s="2" t="inlineStr">
        <is>
          <t>Journal Article</t>
        </is>
      </c>
      <c r="H80" s="2" t="inlineStr">
        <is>
          <t>Measurement: Journal of the International Measurement Confederation</t>
        </is>
      </c>
      <c r="I80" s="2" t="inlineStr"/>
      <c r="J80" s="2" t="inlineStr"/>
      <c r="K80" s="2" t="inlineStr"/>
      <c r="L80" s="2" t="inlineStr">
        <is>
          <t>136</t>
        </is>
      </c>
      <c r="M80" s="2" t="inlineStr"/>
      <c r="N80" s="2" t="inlineStr">
        <is>
          <t>314-322</t>
        </is>
      </c>
      <c r="O80" s="2" t="inlineStr">
        <is>
          <t>10.1016/j.measurement.2018.12.103</t>
        </is>
      </c>
      <c r="P80" s="2" t="inlineStr">
        <is>
          <t>10.1016/j.measurement.2018.12.103</t>
        </is>
      </c>
      <c r="Q80" s="2" t="inlineStr"/>
      <c r="R80" s="2" t="inlineStr"/>
      <c r="S80" s="2" t="inlineStr">
        <is>
          <t>https://www.scopus.com/inward/record.uri?eid=2-s2.0-85059515503&amp;doi=10.1016%2fj.measurement.2018.12.103&amp;partnerID=40&amp;md5=c03a37912a86da8003de11f16bf3086d</t>
        </is>
      </c>
      <c r="T80" s="2" t="inlineStr">
        <is>
          <t>Limiting the weight of bad signals can recover the accuracy of the GNSS solution in signal-degraded scenarios, where multipath reflections and obstructions can easily generate multiple blunders. The fuzzy integration of the available information related to the quality of the received signals is exploited in this paper to derive an effective weighting schema in a Weighted Least Square estimation process. To validate the proposed schema, its performance in the position domain is compared to the most common weighting strategies proposed in the literature, based on GPS data collected through two different High Sensitivity GNSS receivers placed in urban canyons and processed in Single Point Positioning using pseudorange measurements. © 2019 Elsevier Ltd</t>
        </is>
      </c>
      <c r="U80" s="2" t="inlineStr">
        <is>
          <t>eng</t>
        </is>
      </c>
      <c r="V80" s="2" t="inlineStr">
        <is>
          <t>drupal</t>
        </is>
      </c>
      <c r="W80" s="2" t="inlineStr">
        <is>
          <t>154</t>
        </is>
      </c>
      <c r="X80" s="2" t="inlineStr">
        <is>
          <t>1</t>
        </is>
      </c>
      <c r="Y80" s="2" t="inlineStr">
        <is>
          <t>yes</t>
        </is>
      </c>
      <c r="Z80" s="2" t="inlineStr"/>
      <c r="AA80" s="2" t="inlineStr"/>
      <c r="AB80" s="2" t="inlineStr">
        <is>
          <t>legacy_drupal_historical</t>
        </is>
      </c>
      <c r="AC80" s="2" t="inlineStr"/>
    </row>
    <row r="81">
      <c r="A81" s="2" t="inlineStr">
        <is>
          <t>drupal-153</t>
        </is>
      </c>
      <c r="B81" s="2" t="inlineStr">
        <is>
          <t>2019</t>
        </is>
      </c>
      <c r="C81" s="2" t="inlineStr"/>
      <c r="D81" s="2" t="inlineStr">
        <is>
          <t>Machine Learning application to context recognition of a smartphone in Pedestrian Navigation</t>
        </is>
      </c>
      <c r="E81" s="2" t="inlineStr">
        <is>
          <t>Francesco Giordano</t>
        </is>
      </c>
      <c r="F81" s="2" t="inlineStr"/>
      <c r="G81" s="2" t="inlineStr">
        <is>
          <t>Thesis</t>
        </is>
      </c>
      <c r="H81" s="2" t="inlineStr"/>
      <c r="I81" s="2" t="inlineStr"/>
      <c r="J81" s="2" t="inlineStr"/>
      <c r="K81" s="2" t="inlineStr"/>
      <c r="L81" s="2" t="inlineStr"/>
      <c r="M81" s="2" t="inlineStr"/>
      <c r="N81" s="2" t="inlineStr"/>
      <c r="O81" s="2" t="inlineStr"/>
      <c r="P81" s="2" t="inlineStr"/>
      <c r="Q81" s="2" t="inlineStr"/>
      <c r="R81" s="2" t="inlineStr"/>
      <c r="S81" s="2" t="inlineStr"/>
      <c r="T81" s="2" t="inlineStr"/>
      <c r="U81" s="2" t="inlineStr">
        <is>
          <t>eng</t>
        </is>
      </c>
      <c r="V81" s="2" t="inlineStr">
        <is>
          <t>drupal</t>
        </is>
      </c>
      <c r="W81" s="2" t="inlineStr">
        <is>
          <t>153</t>
        </is>
      </c>
      <c r="X81" s="2" t="inlineStr">
        <is>
          <t>1</t>
        </is>
      </c>
      <c r="Y81" s="2" t="inlineStr">
        <is>
          <t>yes</t>
        </is>
      </c>
      <c r="Z81" s="2" t="inlineStr">
        <is>
          <t>missing_doi</t>
        </is>
      </c>
      <c r="AA81" s="2" t="inlineStr"/>
      <c r="AB81" s="2" t="inlineStr">
        <is>
          <t>legacy_drupal_historical</t>
        </is>
      </c>
      <c r="AC81" s="2" t="inlineStr"/>
    </row>
    <row r="82">
      <c r="A82" s="2" t="inlineStr">
        <is>
          <t>drupal-156</t>
        </is>
      </c>
      <c r="B82" s="2" t="inlineStr">
        <is>
          <t>2019</t>
        </is>
      </c>
      <c r="C82" s="2" t="inlineStr"/>
      <c r="D82" s="2" t="inlineStr">
        <is>
          <t>Mitigation of leverage observation effects in GNSS robust positioning</t>
        </is>
      </c>
      <c r="E82" s="2" t="inlineStr">
        <is>
          <t>Antonio Angrisano; Salvatore Gaglione</t>
        </is>
      </c>
      <c r="F82" s="2" t="inlineStr">
        <is>
          <t>Salvatore Gaglione</t>
        </is>
      </c>
      <c r="G82" s="2" t="inlineStr">
        <is>
          <t>Conference Paper</t>
        </is>
      </c>
      <c r="H82" s="2" t="inlineStr">
        <is>
          <t>2018 IEEE International Workshop on Metrology for the Sea; Learning to Measure Sea Health Parameters, MetroSea 2018 - Proceedings</t>
        </is>
      </c>
      <c r="I82" s="2" t="inlineStr"/>
      <c r="J82" s="2" t="inlineStr">
        <is>
          <t>Institute of Electrical and Electronics Engineers Inc.</t>
        </is>
      </c>
      <c r="K82" s="2" t="inlineStr"/>
      <c r="L82" s="2" t="inlineStr"/>
      <c r="M82" s="2" t="inlineStr"/>
      <c r="N82" s="2" t="inlineStr"/>
      <c r="O82" s="2" t="inlineStr">
        <is>
          <t>10.1109/MetroSea.2018.8657870</t>
        </is>
      </c>
      <c r="P82" s="2" t="inlineStr">
        <is>
          <t>10.1109/MetroSea.2018.8657870</t>
        </is>
      </c>
      <c r="Q82" s="2" t="inlineStr"/>
      <c r="R82" s="2" t="inlineStr"/>
      <c r="S82" s="2" t="inlineStr">
        <is>
          <t>https://www.scopus.com/inward/record.uri?eid=2-s2.0-85063866479&amp;doi=10.1109%2fMetroSea.2018.8657870&amp;partnerID=40&amp;md5=05cadc7af731b0d1dffe0c904d6ac49c</t>
        </is>
      </c>
      <c r="T82" s="2" t="inlineStr">
        <is>
          <t>Nowadays GNSSs are the most commonly used systems for localization; they are able to provide user absolute position with metric accuracy in benign environment, i.e. in scenarios without significant obstacles surrounding the user. On the other hand, in harsh scenarios GNSS performance are degraded, owing to the shortage of available measurements and/or to the presence of blunders among them. The blunder issue is usually addressed through RAIM techniques or robust estimation; the latter approach demonstrates often better performance, but suffers anyway the cases of multiple blunders and low redundancy. M-estimators, a particular class of robust estimators, are based on the minimization of functions of least squares residuals. A possible way to strengthen a M-estimator is to take into account for leverage observations, defined as measurements with high potential to affect estimation results. In this work, the Huber M-estimator is adapted to include information about leverage observations and is used to process GPS measurements, collected in harsh environment. The obtained results are very promising, with position errors reduction even beyond 50% with respect to classical Huber method. © 2018 IEEE.</t>
        </is>
      </c>
      <c r="U82" s="2" t="inlineStr">
        <is>
          <t>eng</t>
        </is>
      </c>
      <c r="V82" s="2" t="inlineStr">
        <is>
          <t>drupal</t>
        </is>
      </c>
      <c r="W82" s="2" t="inlineStr">
        <is>
          <t>156</t>
        </is>
      </c>
      <c r="X82" s="2" t="inlineStr">
        <is>
          <t>1</t>
        </is>
      </c>
      <c r="Y82" s="2" t="inlineStr">
        <is>
          <t>yes</t>
        </is>
      </c>
      <c r="Z82" s="2" t="inlineStr"/>
      <c r="AA82" s="2" t="inlineStr"/>
      <c r="AB82" s="2" t="inlineStr">
        <is>
          <t>legacy_drupal_historical</t>
        </is>
      </c>
      <c r="AC82" s="2" t="inlineStr"/>
    </row>
    <row r="83">
      <c r="A83" s="2" t="inlineStr">
        <is>
          <t>drupal-155</t>
        </is>
      </c>
      <c r="B83" s="2" t="inlineStr">
        <is>
          <t>2019</t>
        </is>
      </c>
      <c r="C83" s="2" t="inlineStr"/>
      <c r="D83" s="2" t="inlineStr">
        <is>
          <t>Multi-GNSS single frequency precise point positioning</t>
        </is>
      </c>
      <c r="E83" s="2" t="inlineStr">
        <is>
          <t>Anna Innac; Salvatore Gaglione; Antonio Angrisano</t>
        </is>
      </c>
      <c r="F83" s="2" t="inlineStr">
        <is>
          <t>Salvatore Gaglione</t>
        </is>
      </c>
      <c r="G83" s="2" t="inlineStr">
        <is>
          <t>Conference Paper</t>
        </is>
      </c>
      <c r="H83" s="2" t="inlineStr">
        <is>
          <t>2018 IEEE International Workshop on Metrology for the Sea; Learning to Measure Sea Health Parameters, MetroSea 2018 - Proceedings</t>
        </is>
      </c>
      <c r="I83" s="2" t="inlineStr"/>
      <c r="J83" s="2" t="inlineStr">
        <is>
          <t>Institute of Electrical and Electronics Engineers Inc.</t>
        </is>
      </c>
      <c r="K83" s="2" t="inlineStr"/>
      <c r="L83" s="2" t="inlineStr"/>
      <c r="M83" s="2" t="inlineStr"/>
      <c r="N83" s="2" t="inlineStr"/>
      <c r="O83" s="2" t="inlineStr">
        <is>
          <t>10.1109/MetroSea.2018.8657857</t>
        </is>
      </c>
      <c r="P83" s="2" t="inlineStr">
        <is>
          <t>10.1109/MetroSea.2018.8657857</t>
        </is>
      </c>
      <c r="Q83" s="2" t="inlineStr"/>
      <c r="R83" s="2" t="inlineStr"/>
      <c r="S83" s="2" t="inlineStr">
        <is>
          <t>https://www.scopus.com/inward/record.uri?eid=2-s2.0-85063905389&amp;doi=10.1109%2fMetroSea.2018.8657857&amp;partnerID=40&amp;md5=fdadaaf98244b0abb0fb6dd39560b864</t>
        </is>
      </c>
      <c r="T83" s="2" t="inlineStr">
        <is>
          <t>Single Frequency-Precise Point Positioning (SF-PPP) processing strategy is a hot topic in GNSS context, owing to the advantages of a stand-alone, accurate and cost efficiency positioning. However, the existing SF-PPP methods can be hardly implemented for high-precision applications due to the large error sources that affect accuracy and converge time of PPP solution. For this aim, the paper proposes a SF-PPP approach based on the processing of code and carrier phase measurements from multi-GNSS constellation. The algorithm is tested using a static data collection carried out in an open-sky scenario. Results show a decimeter level accuracy on horizontal and vertical components of the position. © 2018 IEEE.</t>
        </is>
      </c>
      <c r="U83" s="2" t="inlineStr">
        <is>
          <t>eng</t>
        </is>
      </c>
      <c r="V83" s="2" t="inlineStr">
        <is>
          <t>drupal</t>
        </is>
      </c>
      <c r="W83" s="2" t="inlineStr">
        <is>
          <t>155</t>
        </is>
      </c>
      <c r="X83" s="2" t="inlineStr">
        <is>
          <t>1</t>
        </is>
      </c>
      <c r="Y83" s="2" t="inlineStr">
        <is>
          <t>yes</t>
        </is>
      </c>
      <c r="Z83" s="2" t="inlineStr"/>
      <c r="AA83" s="2" t="inlineStr"/>
      <c r="AB83" s="2" t="inlineStr">
        <is>
          <t>legacy_drupal_historical</t>
        </is>
      </c>
      <c r="AC83" s="2" t="inlineStr"/>
    </row>
    <row r="84">
      <c r="A84" s="2" t="inlineStr">
        <is>
          <t>drupal-208</t>
        </is>
      </c>
      <c r="B84" s="2" t="inlineStr">
        <is>
          <t>2019</t>
        </is>
      </c>
      <c r="C84" s="2" t="inlineStr"/>
      <c r="D84" s="2" t="inlineStr">
        <is>
          <t>Multiscale reconstruction of natural and archaeological underwater landscape by optical and acoustic sensors</t>
        </is>
      </c>
      <c r="E84" s="2" t="inlineStr">
        <is>
          <t>Gaia Mattei; Salvatore Troisi; Pietro PC Aucelli; Gerardo Pappone; F. Peluso; M. Stefanile</t>
        </is>
      </c>
      <c r="F84" s="2" t="inlineStr">
        <is>
          <t>Salvatore Troisi</t>
        </is>
      </c>
      <c r="G84" s="2" t="inlineStr">
        <is>
          <t>Conference Paper</t>
        </is>
      </c>
      <c r="H84" s="2" t="inlineStr">
        <is>
          <t>2018 IEEE International Workshop on Metrology for the Sea; Learning to Measure Sea Health Parameters, MetroSea 2018 - Proceedings</t>
        </is>
      </c>
      <c r="I84" s="2" t="inlineStr"/>
      <c r="J84" s="2" t="inlineStr"/>
      <c r="K84" s="2" t="inlineStr"/>
      <c r="L84" s="2" t="inlineStr"/>
      <c r="M84" s="2" t="inlineStr"/>
      <c r="N84" s="2" t="inlineStr"/>
      <c r="O84" s="2" t="inlineStr">
        <is>
          <t>10.1109/MetroSea.2018.8657872</t>
        </is>
      </c>
      <c r="P84" s="2" t="inlineStr">
        <is>
          <t>10.1109/MetroSea.2018.8657872</t>
        </is>
      </c>
      <c r="Q84" s="2" t="inlineStr"/>
      <c r="R84" s="2" t="inlineStr"/>
      <c r="S84" s="2" t="inlineStr">
        <is>
          <t>https://www.scopus.com/inward/record.uri?eid=2-s2.0-85062507512&amp;doi=10.1109%2fMetroSea.2018.8657872&amp;partnerID=40&amp;md5=f08590876fd52ce78acbef63d673f66a</t>
        </is>
      </c>
      <c r="T84" s="2" t="inlineStr"/>
      <c r="U84" s="2" t="inlineStr">
        <is>
          <t>eng</t>
        </is>
      </c>
      <c r="V84" s="2" t="inlineStr">
        <is>
          <t>drupal</t>
        </is>
      </c>
      <c r="W84" s="2" t="inlineStr">
        <is>
          <t>208</t>
        </is>
      </c>
      <c r="X84" s="2" t="inlineStr">
        <is>
          <t>1</t>
        </is>
      </c>
      <c r="Y84" s="2" t="inlineStr">
        <is>
          <t>yes</t>
        </is>
      </c>
      <c r="Z84" s="2" t="inlineStr">
        <is>
          <t>ambiguous_author:Aucelli, P.P.C.</t>
        </is>
      </c>
      <c r="AA84" s="2" t="inlineStr"/>
      <c r="AB84" s="2" t="inlineStr">
        <is>
          <t>legacy_drupal_historical</t>
        </is>
      </c>
      <c r="AC84" s="2" t="inlineStr"/>
    </row>
    <row r="85">
      <c r="A85" s="2" t="inlineStr">
        <is>
          <t>drupal-206</t>
        </is>
      </c>
      <c r="B85" s="2" t="inlineStr">
        <is>
          <t>2019</t>
        </is>
      </c>
      <c r="C85" s="2" t="inlineStr"/>
      <c r="D85" s="2" t="inlineStr">
        <is>
          <t>Optimization of the maritime signaling in the Venetian Lagoon</t>
        </is>
      </c>
      <c r="E85" s="2" t="inlineStr">
        <is>
          <t>Fabiana Di Ciaccio; P. Menegazzo; Salvatore Troisi</t>
        </is>
      </c>
      <c r="F85" s="2" t="inlineStr">
        <is>
          <t>Salvatore Troisi</t>
        </is>
      </c>
      <c r="G85" s="2" t="inlineStr">
        <is>
          <t>Conference Paper</t>
        </is>
      </c>
      <c r="H85" s="2" t="inlineStr">
        <is>
          <t>2018 IEEE International Workshop on Metrology for the Sea; Learning to Measure Sea Health Parameters, MetroSea 2018 - Proceedings</t>
        </is>
      </c>
      <c r="I85" s="2" t="inlineStr"/>
      <c r="J85" s="2" t="inlineStr"/>
      <c r="K85" s="2" t="inlineStr"/>
      <c r="L85" s="2" t="inlineStr"/>
      <c r="M85" s="2" t="inlineStr"/>
      <c r="N85" s="2" t="inlineStr"/>
      <c r="O85" s="2" t="inlineStr">
        <is>
          <t>10.1109/MetroSea.2018.8657844</t>
        </is>
      </c>
      <c r="P85" s="2" t="inlineStr">
        <is>
          <t>10.1109/MetroSea.2018.8657844</t>
        </is>
      </c>
      <c r="Q85" s="2" t="inlineStr"/>
      <c r="R85" s="2" t="inlineStr"/>
      <c r="S85" s="2" t="inlineStr">
        <is>
          <t>https://www.scopus.com/inward/record.uri?eid=2-s2.0-85063895417&amp;doi=10.1109%2fMetroSea.2018.8657844&amp;partnerID=40&amp;md5=e8b850e98d7fec382c94d7fd1d19d08c</t>
        </is>
      </c>
      <c r="T85" s="2" t="inlineStr"/>
      <c r="U85" s="2" t="inlineStr">
        <is>
          <t>eng</t>
        </is>
      </c>
      <c r="V85" s="2" t="inlineStr">
        <is>
          <t>drupal</t>
        </is>
      </c>
      <c r="W85" s="2" t="inlineStr">
        <is>
          <t>206</t>
        </is>
      </c>
      <c r="X85" s="2" t="inlineStr">
        <is>
          <t>1</t>
        </is>
      </c>
      <c r="Y85" s="2" t="inlineStr">
        <is>
          <t>yes</t>
        </is>
      </c>
      <c r="Z85" s="2" t="inlineStr"/>
      <c r="AA85" s="2" t="inlineStr"/>
      <c r="AB85" s="2" t="inlineStr">
        <is>
          <t>legacy_drupal_historical</t>
        </is>
      </c>
      <c r="AC85" s="2" t="inlineStr"/>
    </row>
    <row r="86">
      <c r="A86" s="2" t="inlineStr">
        <is>
          <t>drupal-207</t>
        </is>
      </c>
      <c r="B86" s="2" t="inlineStr">
        <is>
          <t>2019</t>
        </is>
      </c>
      <c r="C86" s="2" t="inlineStr"/>
      <c r="D86" s="2" t="inlineStr">
        <is>
          <t>Optimization of the maritime signaling system in the lagoon of venice</t>
        </is>
      </c>
      <c r="E86" s="2" t="inlineStr">
        <is>
          <t>Fabiana Di Ciaccio; P. Menegazzo; Salvatore Troisi</t>
        </is>
      </c>
      <c r="F86" s="2" t="inlineStr">
        <is>
          <t>Salvatore Troisi</t>
        </is>
      </c>
      <c r="G86" s="2" t="inlineStr">
        <is>
          <t>Journal Article</t>
        </is>
      </c>
      <c r="H86" s="2" t="inlineStr">
        <is>
          <t>Sensors (Switzerland)</t>
        </is>
      </c>
      <c r="I86" s="2" t="inlineStr"/>
      <c r="J86" s="2" t="inlineStr"/>
      <c r="K86" s="2" t="inlineStr"/>
      <c r="L86" s="2" t="inlineStr">
        <is>
          <t>19</t>
        </is>
      </c>
      <c r="M86" s="2" t="inlineStr"/>
      <c r="N86" s="2" t="inlineStr"/>
      <c r="O86" s="2" t="inlineStr">
        <is>
          <t>10.3390/s19051216</t>
        </is>
      </c>
      <c r="P86" s="2" t="inlineStr">
        <is>
          <t>10.3390/s19051216</t>
        </is>
      </c>
      <c r="Q86" s="2" t="inlineStr"/>
      <c r="R86" s="2" t="inlineStr"/>
      <c r="S86" s="2" t="inlineStr">
        <is>
          <t>https://www.scopus.com/inward/record.uri?eid=2-s2.0-85062827774&amp;doi=10.3390%2fs19051216&amp;partnerID=40&amp;md5=cd4fcf134389b327a73689ca1733f7ba</t>
        </is>
      </c>
      <c r="T86" s="2" t="inlineStr"/>
      <c r="U86" s="2" t="inlineStr">
        <is>
          <t>eng</t>
        </is>
      </c>
      <c r="V86" s="2" t="inlineStr">
        <is>
          <t>drupal</t>
        </is>
      </c>
      <c r="W86" s="2" t="inlineStr">
        <is>
          <t>207</t>
        </is>
      </c>
      <c r="X86" s="2" t="inlineStr">
        <is>
          <t>1</t>
        </is>
      </c>
      <c r="Y86" s="2" t="inlineStr">
        <is>
          <t>yes</t>
        </is>
      </c>
      <c r="Z86" s="2" t="inlineStr"/>
      <c r="AA86" s="2" t="inlineStr"/>
      <c r="AB86" s="2" t="inlineStr">
        <is>
          <t>legacy_drupal_historical</t>
        </is>
      </c>
      <c r="AC86" s="2" t="inlineStr"/>
    </row>
    <row r="87">
      <c r="A87" s="2" t="inlineStr">
        <is>
          <t>drupal-157</t>
        </is>
      </c>
      <c r="B87" s="2" t="inlineStr">
        <is>
          <t>2019</t>
        </is>
      </c>
      <c r="C87" s="2" t="inlineStr"/>
      <c r="D87" s="2" t="inlineStr">
        <is>
          <t>Pedestrian localization with PDR supplemented by GNSS</t>
        </is>
      </c>
      <c r="E87" s="2" t="inlineStr">
        <is>
          <t>Antonio Angrisano; Mario Vultaggio; Salvatore Gaglione; N. Crocetto</t>
        </is>
      </c>
      <c r="F87" s="2" t="inlineStr">
        <is>
          <t>Salvatore Gaglione</t>
        </is>
      </c>
      <c r="G87" s="2" t="inlineStr">
        <is>
          <t>Conference Paper</t>
        </is>
      </c>
      <c r="H87" s="2" t="inlineStr">
        <is>
          <t>European Navigation Conference, ENC 2019</t>
        </is>
      </c>
      <c r="I87" s="2" t="inlineStr"/>
      <c r="J87" s="2" t="inlineStr"/>
      <c r="K87" s="2" t="inlineStr"/>
      <c r="L87" s="2" t="inlineStr"/>
      <c r="M87" s="2" t="inlineStr"/>
      <c r="N87" s="2" t="inlineStr"/>
      <c r="O87" s="2" t="inlineStr">
        <is>
          <t>10.1109/EURONAV.2019.8714150</t>
        </is>
      </c>
      <c r="P87" s="2" t="inlineStr">
        <is>
          <t>10.1109/EURONAV.2019.8714150</t>
        </is>
      </c>
      <c r="Q87" s="2" t="inlineStr"/>
      <c r="R87" s="2" t="inlineStr">
        <is>
          <t>9781538694732</t>
        </is>
      </c>
      <c r="S87" s="2" t="inlineStr">
        <is>
          <t>https://www.scopus.com/inward/record.uri?eid=2-s2.0-85067107796&amp;doi=10.1109%2fEURONAV.2019.8714150&amp;partnerID=40&amp;md5=a7efc198b4f6ca91b8bcdfb0afd7fe5f</t>
        </is>
      </c>
      <c r="T87" s="2" t="inlineStr"/>
      <c r="U87" s="2" t="inlineStr">
        <is>
          <t>eng</t>
        </is>
      </c>
      <c r="V87" s="2" t="inlineStr">
        <is>
          <t>drupal</t>
        </is>
      </c>
      <c r="W87" s="2" t="inlineStr">
        <is>
          <t>157</t>
        </is>
      </c>
      <c r="X87" s="2" t="inlineStr">
        <is>
          <t>1</t>
        </is>
      </c>
      <c r="Y87" s="2" t="inlineStr">
        <is>
          <t>yes</t>
        </is>
      </c>
      <c r="Z87" s="2" t="inlineStr"/>
      <c r="AA87" s="2" t="inlineStr"/>
      <c r="AB87" s="2" t="inlineStr">
        <is>
          <t>legacy_drupal_historical</t>
        </is>
      </c>
      <c r="AC87" s="2" t="inlineStr"/>
    </row>
    <row r="88">
      <c r="A88" s="2" t="inlineStr">
        <is>
          <t>drupal-168</t>
        </is>
      </c>
      <c r="B88" s="2" t="inlineStr">
        <is>
          <t>2019</t>
        </is>
      </c>
      <c r="C88" s="2" t="inlineStr">
        <is>
          <t>2019</t>
        </is>
      </c>
      <c r="D88" s="2" t="inlineStr">
        <is>
          <t>Performance comparison among multi-GNSS single frequency precise point positioning techniques</t>
        </is>
      </c>
      <c r="E88" s="2" t="inlineStr">
        <is>
          <t>Anna Innac; Antonio Angrisano; Salvatore Gaglione; Mario Vultaggio; N. Crocetto</t>
        </is>
      </c>
      <c r="F88" s="2" t="inlineStr">
        <is>
          <t>Salvatore Gaglione</t>
        </is>
      </c>
      <c r="G88" s="2" t="inlineStr">
        <is>
          <t>Journal Article</t>
        </is>
      </c>
      <c r="H88" s="2" t="inlineStr">
        <is>
          <t>Kartografija i Geoinformacije</t>
        </is>
      </c>
      <c r="I88" s="2" t="inlineStr"/>
      <c r="J88" s="2" t="inlineStr"/>
      <c r="K88" s="2" t="inlineStr"/>
      <c r="L88" s="2" t="inlineStr">
        <is>
          <t>18</t>
        </is>
      </c>
      <c r="M88" s="2" t="inlineStr">
        <is>
          <t>32</t>
        </is>
      </c>
      <c r="N88" s="2" t="inlineStr">
        <is>
          <t>80 - 99</t>
        </is>
      </c>
      <c r="O88" s="2" t="inlineStr"/>
      <c r="P88" s="2" t="inlineStr"/>
      <c r="Q88" s="2" t="inlineStr"/>
      <c r="R88" s="2" t="inlineStr">
        <is>
          <t>1333896X (ISSN)</t>
        </is>
      </c>
      <c r="S88" s="2" t="inlineStr">
        <is>
          <t>https://www.scopus.com/inward/record.uri?eid=2-s2.0-85084345198&amp;doi=10.32909%2fkg.18.32.6&amp;partnerID=40&amp;md5=b97ced4c8edcbfed63867b718ed8a6e8</t>
        </is>
      </c>
      <c r="T88" s="2" t="inlineStr"/>
      <c r="U88" s="2" t="inlineStr">
        <is>
          <t>eng</t>
        </is>
      </c>
      <c r="V88" s="2" t="inlineStr">
        <is>
          <t>drupal</t>
        </is>
      </c>
      <c r="W88" s="2" t="inlineStr">
        <is>
          <t>168</t>
        </is>
      </c>
      <c r="X88" s="2" t="inlineStr">
        <is>
          <t>1</t>
        </is>
      </c>
      <c r="Y88" s="2" t="inlineStr">
        <is>
          <t>yes</t>
        </is>
      </c>
      <c r="Z88" s="2" t="inlineStr">
        <is>
          <t>missing_doi</t>
        </is>
      </c>
      <c r="AA88" s="2" t="inlineStr"/>
      <c r="AB88" s="2" t="inlineStr">
        <is>
          <t>legacy_drupal_historical</t>
        </is>
      </c>
      <c r="AC88" s="2" t="inlineStr"/>
    </row>
    <row r="89">
      <c r="A89" s="2" t="inlineStr">
        <is>
          <t>drupal-209</t>
        </is>
      </c>
      <c r="B89" s="2" t="inlineStr">
        <is>
          <t>2019</t>
        </is>
      </c>
      <c r="C89" s="2" t="inlineStr"/>
      <c r="D89" s="2" t="inlineStr">
        <is>
          <t>PHOTOGRAMMETRIC SURVEY with FISHEYE LENS for the CHARACTERIZATION of the la SASSA CAVE</t>
        </is>
      </c>
      <c r="E89" s="2" t="inlineStr">
        <is>
          <t>L. Alessandri; Valerio Baiocchi; Silvio Del Pizzo; M.F. Rolfo; Salvatore Troisi</t>
        </is>
      </c>
      <c r="F89" s="2" t="inlineStr">
        <is>
          <t>Silvio Del Pizzo; Salvatore Troisi</t>
        </is>
      </c>
      <c r="G89" s="2" t="inlineStr">
        <is>
          <t>Conference Paper</t>
        </is>
      </c>
      <c r="H89" s="2" t="inlineStr">
        <is>
          <t>ISPRS Annals of the Photogrammetry, Remote Sensing and Spatial Information Sciences</t>
        </is>
      </c>
      <c r="I89" s="2" t="inlineStr"/>
      <c r="J89" s="2" t="inlineStr"/>
      <c r="K89" s="2" t="inlineStr"/>
      <c r="L89" s="2" t="inlineStr"/>
      <c r="M89" s="2" t="inlineStr"/>
      <c r="N89" s="2" t="inlineStr"/>
      <c r="O89" s="2" t="inlineStr">
        <is>
          <t>10.5194/isprs-archives-XLII-2-W9-25-2019</t>
        </is>
      </c>
      <c r="P89" s="2" t="inlineStr">
        <is>
          <t>10.5194/isprs-archives-XLII-2-W9-25-2019</t>
        </is>
      </c>
      <c r="Q89" s="2" t="inlineStr"/>
      <c r="R89" s="2" t="inlineStr"/>
      <c r="S89" s="2" t="inlineStr">
        <is>
          <t>https://www.scopus.com/inward/record.uri?eid=2-s2.0-85065400824&amp;doi=10.5194%2fisprs-archives-XLII-2-W9-25-2019&amp;partnerID=40&amp;md5=335e04bffaebad667be2a67ecb809351</t>
        </is>
      </c>
      <c r="T89" s="2" t="inlineStr"/>
      <c r="U89" s="2" t="inlineStr">
        <is>
          <t>eng</t>
        </is>
      </c>
      <c r="V89" s="2" t="inlineStr">
        <is>
          <t>drupal</t>
        </is>
      </c>
      <c r="W89" s="2" t="inlineStr">
        <is>
          <t>209</t>
        </is>
      </c>
      <c r="X89" s="2" t="inlineStr">
        <is>
          <t>1</t>
        </is>
      </c>
      <c r="Y89" s="2" t="inlineStr">
        <is>
          <t>yes</t>
        </is>
      </c>
      <c r="Z89" s="2" t="inlineStr"/>
      <c r="AA89" s="2" t="inlineStr"/>
      <c r="AB89" s="2" t="inlineStr">
        <is>
          <t>legacy_drupal_historical</t>
        </is>
      </c>
      <c r="AC89" s="2" t="inlineStr"/>
    </row>
    <row r="90">
      <c r="A90" s="2" t="inlineStr">
        <is>
          <t>drupal-158</t>
        </is>
      </c>
      <c r="B90" s="2" t="inlineStr">
        <is>
          <t>2019</t>
        </is>
      </c>
      <c r="C90" s="2" t="inlineStr"/>
      <c r="D90" s="2" t="inlineStr">
        <is>
          <t>Robust Kalman Filter applied to GNSS positioning in harsh environment</t>
        </is>
      </c>
      <c r="E90" s="2" t="inlineStr">
        <is>
          <t>Salvatore Gaglione; Antonio Angrisano; N. Crocetto</t>
        </is>
      </c>
      <c r="F90" s="2" t="inlineStr">
        <is>
          <t>Salvatore Gaglione</t>
        </is>
      </c>
      <c r="G90" s="2" t="inlineStr">
        <is>
          <t>Conference Paper</t>
        </is>
      </c>
      <c r="H90" s="2" t="inlineStr">
        <is>
          <t>European Navigation Conference, ENC 2019</t>
        </is>
      </c>
      <c r="I90" s="2" t="inlineStr"/>
      <c r="J90" s="2" t="inlineStr"/>
      <c r="K90" s="2" t="inlineStr"/>
      <c r="L90" s="2" t="inlineStr"/>
      <c r="M90" s="2" t="inlineStr"/>
      <c r="N90" s="2" t="inlineStr"/>
      <c r="O90" s="2" t="inlineStr">
        <is>
          <t>10.1109/EURONAV.2019.8714132</t>
        </is>
      </c>
      <c r="P90" s="2" t="inlineStr">
        <is>
          <t>10.1109/EURONAV.2019.8714132</t>
        </is>
      </c>
      <c r="Q90" s="2" t="inlineStr"/>
      <c r="R90" s="2" t="inlineStr">
        <is>
          <t>9781538694732</t>
        </is>
      </c>
      <c r="S90" s="2" t="inlineStr">
        <is>
          <t>https://www.scopus.com/inward/record.uri?eid=2-s2.0-85067099572&amp;doi=10.1109%2fEURONAV.2019.8714132&amp;partnerID=40&amp;md5=c0cb8dcff95f925439f0bd622391205c</t>
        </is>
      </c>
      <c r="T90" s="2" t="inlineStr"/>
      <c r="U90" s="2" t="inlineStr">
        <is>
          <t>eng</t>
        </is>
      </c>
      <c r="V90" s="2" t="inlineStr">
        <is>
          <t>drupal</t>
        </is>
      </c>
      <c r="W90" s="2" t="inlineStr">
        <is>
          <t>158</t>
        </is>
      </c>
      <c r="X90" s="2" t="inlineStr">
        <is>
          <t>1</t>
        </is>
      </c>
      <c r="Y90" s="2" t="inlineStr">
        <is>
          <t>yes</t>
        </is>
      </c>
      <c r="Z90" s="2" t="inlineStr"/>
      <c r="AA90" s="2" t="inlineStr"/>
      <c r="AB90" s="2" t="inlineStr">
        <is>
          <t>legacy_drupal_historical</t>
        </is>
      </c>
      <c r="AC90" s="2" t="inlineStr"/>
    </row>
    <row r="91">
      <c r="A91" s="2" t="inlineStr">
        <is>
          <t>drupal-205</t>
        </is>
      </c>
      <c r="B91" s="2" t="inlineStr">
        <is>
          <t>2019</t>
        </is>
      </c>
      <c r="C91" s="2" t="inlineStr"/>
      <c r="D91" s="2" t="inlineStr">
        <is>
          <t>Three-dimensional survey of guattari cave with traditional and mobile phone cameras</t>
        </is>
      </c>
      <c r="E91" s="2" t="inlineStr">
        <is>
          <t>L. Alessandri; Valerio Baiocchi; Silvio Del Pizzo; Fabiana Di Ciaccio; Matteo Onori; M.F. Rolfo; Salvatore Troisi</t>
        </is>
      </c>
      <c r="F91" s="2" t="inlineStr">
        <is>
          <t>Silvio Del Pizzo; Salvatore Troisi</t>
        </is>
      </c>
      <c r="G91" s="2" t="inlineStr">
        <is>
          <t>Conference Paper</t>
        </is>
      </c>
      <c r="H91" s="2" t="inlineStr">
        <is>
          <t>ISPRS Annals of the Photogrammetry, Remote Sensing and Spatial Information Sciences</t>
        </is>
      </c>
      <c r="I91" s="2" t="inlineStr"/>
      <c r="J91" s="2" t="inlineStr"/>
      <c r="K91" s="2" t="inlineStr"/>
      <c r="L91" s="2" t="inlineStr"/>
      <c r="M91" s="2" t="inlineStr"/>
      <c r="N91" s="2" t="inlineStr"/>
      <c r="O91" s="2" t="inlineStr">
        <is>
          <t>10.5194/isprs-Archives-XLII-2-W11-37-2019</t>
        </is>
      </c>
      <c r="P91" s="2" t="inlineStr">
        <is>
          <t>10.5194/isprs-Archives-XLII-2-W11-37-2019</t>
        </is>
      </c>
      <c r="Q91" s="2" t="inlineStr"/>
      <c r="R91" s="2" t="inlineStr"/>
      <c r="S91" s="2" t="inlineStr">
        <is>
          <t>https://www.scopus.com/inward/record.uri?eid=2-s2.0-85065652753&amp;doi=10.5194%2fisprs-Archives-XLII-2-W11-37-2019&amp;partnerID=40&amp;md5=f68c468a1ec426380e016417e2f3a0a0</t>
        </is>
      </c>
      <c r="T91" s="2" t="inlineStr"/>
      <c r="U91" s="2" t="inlineStr">
        <is>
          <t>eng</t>
        </is>
      </c>
      <c r="V91" s="2" t="inlineStr">
        <is>
          <t>drupal</t>
        </is>
      </c>
      <c r="W91" s="2" t="inlineStr">
        <is>
          <t>205</t>
        </is>
      </c>
      <c r="X91" s="2" t="inlineStr">
        <is>
          <t>1</t>
        </is>
      </c>
      <c r="Y91" s="2" t="inlineStr">
        <is>
          <t>yes</t>
        </is>
      </c>
      <c r="Z91" s="2" t="inlineStr"/>
      <c r="AA91" s="2" t="inlineStr"/>
      <c r="AB91" s="2" t="inlineStr">
        <is>
          <t>legacy_drupal_historical</t>
        </is>
      </c>
      <c r="AC91" s="2" t="inlineStr"/>
    </row>
    <row r="92">
      <c r="A92" s="2" t="inlineStr">
        <is>
          <t>drupal-151</t>
        </is>
      </c>
      <c r="B92" s="2" t="inlineStr">
        <is>
          <t>2018</t>
        </is>
      </c>
      <c r="C92" s="2" t="inlineStr"/>
      <c r="D92" s="2" t="inlineStr">
        <is>
          <t>A comparison between resistant GNSS positioning techniques in harsh environment</t>
        </is>
      </c>
      <c r="E92" s="2" t="inlineStr">
        <is>
          <t>Antonio Angrisano; Salvatore Gaglione; Antonio Maratea</t>
        </is>
      </c>
      <c r="F92" s="2" t="inlineStr">
        <is>
          <t>Salvatore Gaglione</t>
        </is>
      </c>
      <c r="G92" s="2" t="inlineStr">
        <is>
          <t>Conference Paper</t>
        </is>
      </c>
      <c r="H92" s="2" t="inlineStr">
        <is>
          <t>2018 European Navigation Conference, ENC 2018</t>
        </is>
      </c>
      <c r="I92" s="2" t="inlineStr"/>
      <c r="J92" s="2" t="inlineStr"/>
      <c r="K92" s="2" t="inlineStr"/>
      <c r="L92" s="2" t="inlineStr"/>
      <c r="M92" s="2" t="inlineStr"/>
      <c r="N92" s="2" t="inlineStr"/>
      <c r="O92" s="2" t="inlineStr">
        <is>
          <t>10.1109/EURONAV.2018.8433232</t>
        </is>
      </c>
      <c r="P92" s="2" t="inlineStr">
        <is>
          <t>10.1109/EURONAV.2018.8433232</t>
        </is>
      </c>
      <c r="Q92" s="2" t="inlineStr"/>
      <c r="R92" s="2" t="inlineStr"/>
      <c r="S92" s="2" t="inlineStr">
        <is>
          <t>https://www.scopus.com/inward/record.uri?eid=2-s2.0-85052524533&amp;doi=10.1109%2fEURONAV.2018.8433232&amp;partnerID=40&amp;md5=5929842ba87603741907b4d92d16cd2d</t>
        </is>
      </c>
      <c r="T92" s="2" t="inlineStr"/>
      <c r="U92" s="2" t="inlineStr">
        <is>
          <t>eng</t>
        </is>
      </c>
      <c r="V92" s="2" t="inlineStr">
        <is>
          <t>drupal</t>
        </is>
      </c>
      <c r="W92" s="2" t="inlineStr">
        <is>
          <t>151</t>
        </is>
      </c>
      <c r="X92" s="2" t="inlineStr">
        <is>
          <t>1</t>
        </is>
      </c>
      <c r="Y92" s="2" t="inlineStr">
        <is>
          <t>yes</t>
        </is>
      </c>
      <c r="Z92" s="2" t="inlineStr"/>
      <c r="AA92" s="2" t="inlineStr"/>
      <c r="AB92" s="2" t="inlineStr">
        <is>
          <t>legacy_drupal_historical</t>
        </is>
      </c>
      <c r="AC92" s="2" t="inlineStr"/>
    </row>
    <row r="93">
      <c r="A93" s="2" t="inlineStr">
        <is>
          <t>drupal-152</t>
        </is>
      </c>
      <c r="B93" s="2" t="inlineStr">
        <is>
          <t>2018</t>
        </is>
      </c>
      <c r="C93" s="2" t="inlineStr"/>
      <c r="D93" s="2" t="inlineStr">
        <is>
          <t>A proposed fault detection and exclusion method applied to multi-GNSS single-frequency PPP</t>
        </is>
      </c>
      <c r="E93" s="2" t="inlineStr">
        <is>
          <t>Anna Innac; Salvatore Gaglione; Salvatore Troisi; Antonio Angrisano</t>
        </is>
      </c>
      <c r="F93" s="2" t="inlineStr">
        <is>
          <t>Salvatore Gaglione; Salvatore Troisi</t>
        </is>
      </c>
      <c r="G93" s="2" t="inlineStr">
        <is>
          <t>Conference Paper</t>
        </is>
      </c>
      <c r="H93" s="2" t="inlineStr">
        <is>
          <t>2018 European Navigation Conference, ENC 2018</t>
        </is>
      </c>
      <c r="I93" s="2" t="inlineStr"/>
      <c r="J93" s="2" t="inlineStr"/>
      <c r="K93" s="2" t="inlineStr"/>
      <c r="L93" s="2" t="inlineStr"/>
      <c r="M93" s="2" t="inlineStr"/>
      <c r="N93" s="2" t="inlineStr"/>
      <c r="O93" s="2" t="inlineStr">
        <is>
          <t>10.1109/EURONAV.2018.8433231</t>
        </is>
      </c>
      <c r="P93" s="2" t="inlineStr">
        <is>
          <t>10.1109/EURONAV.2018.8433231</t>
        </is>
      </c>
      <c r="Q93" s="2" t="inlineStr"/>
      <c r="R93" s="2" t="inlineStr"/>
      <c r="S93" s="2" t="inlineStr">
        <is>
          <t>https://www.scopus.com/inward/record.uri?eid=2-s2.0-85052516238&amp;doi=10.1109%2fEURONAV.2018.8433231&amp;partnerID=40&amp;md5=7c480a8e72ecb3ea89f5783aa0fd83be</t>
        </is>
      </c>
      <c r="T93" s="2" t="inlineStr"/>
      <c r="U93" s="2" t="inlineStr">
        <is>
          <t>eng</t>
        </is>
      </c>
      <c r="V93" s="2" t="inlineStr">
        <is>
          <t>drupal</t>
        </is>
      </c>
      <c r="W93" s="2" t="inlineStr">
        <is>
          <t>152</t>
        </is>
      </c>
      <c r="X93" s="2" t="inlineStr">
        <is>
          <t>1</t>
        </is>
      </c>
      <c r="Y93" s="2" t="inlineStr">
        <is>
          <t>yes</t>
        </is>
      </c>
      <c r="Z93" s="2" t="inlineStr"/>
      <c r="AA93" s="2" t="inlineStr"/>
      <c r="AB93" s="2" t="inlineStr">
        <is>
          <t>legacy_drupal_historical</t>
        </is>
      </c>
      <c r="AC93" s="2" t="inlineStr"/>
    </row>
    <row r="94">
      <c r="A94" s="2" t="inlineStr">
        <is>
          <t>drupal-140</t>
        </is>
      </c>
      <c r="B94" s="2" t="inlineStr">
        <is>
          <t>2018</t>
        </is>
      </c>
      <c r="C94" s="2" t="inlineStr"/>
      <c r="D94" s="2" t="inlineStr">
        <is>
          <t>A resampling strategy based on bootstrap to reduce the effect of large blunders in GPS absolute positioning</t>
        </is>
      </c>
      <c r="E94" s="2" t="inlineStr">
        <is>
          <t>Antonio Angrisano; Antonio Maratea; Salvatore Gaglione</t>
        </is>
      </c>
      <c r="F94" s="2" t="inlineStr">
        <is>
          <t>Salvatore Gaglione</t>
        </is>
      </c>
      <c r="G94" s="2" t="inlineStr">
        <is>
          <t>Journal Article</t>
        </is>
      </c>
      <c r="H94" s="2" t="inlineStr">
        <is>
          <t>Journal of Geodesy</t>
        </is>
      </c>
      <c r="I94" s="2" t="inlineStr"/>
      <c r="J94" s="2" t="inlineStr"/>
      <c r="K94" s="2" t="inlineStr"/>
      <c r="L94" s="2" t="inlineStr"/>
      <c r="M94" s="2" t="inlineStr"/>
      <c r="N94" s="2" t="inlineStr">
        <is>
          <t>1-12</t>
        </is>
      </c>
      <c r="O94" s="2" t="inlineStr">
        <is>
          <t>10.1007/s00190-017-1046-6</t>
        </is>
      </c>
      <c r="P94" s="2" t="inlineStr">
        <is>
          <t>10.1007/s00190-017-1046-6</t>
        </is>
      </c>
      <c r="Q94" s="2" t="inlineStr"/>
      <c r="R94" s="2" t="inlineStr"/>
      <c r="S94" s="2" t="inlineStr">
        <is>
          <t>https://www.scopus.com/inward/record.uri?eid=2-s2.0-85022001142&amp;doi=10.1007%2fs00190-017-1046-6&amp;partnerID=40&amp;md5=9893353c2c5296cc57f808acf611717a</t>
        </is>
      </c>
      <c r="T94" s="2" t="inlineStr">
        <is>
          <t>In the absence of obstacles, a GPS device is generally able to provide continuous and accurate estimates of position, while in urban scenarios buildings can generate multipath and echo-only phenomena that severely affect the continuity and the accuracy of the provided estimates. Receiver autonomous integrity monitoring (RAIM) techniques are able to reduce the negative consequences of large blunders in urban scenarios, but require both a good redundancy and a low contamination to be effective. In this paper a resampling strategy based on bootstrap is proposed as an alternative to RAIM, in order to estimate accurately position in case of low redundancy and multiple blunders: starting with the pseudorange measurement model, at each epoch the available measurements are bootstrapped—that is random sampled with replacement—and the generated a posteriori empirical distribution is exploited to derive the final position. Compared to standard bootstrap, in this paper the sampling probabilities are not uniform, but vary according to an indicator of the measurement quality. The proposed method has been compared with two different RAIM techniques on a data set collected in critical conditions, resulting in a clear improvement on all considered figures of merit.</t>
        </is>
      </c>
      <c r="U94" s="2" t="inlineStr">
        <is>
          <t>eng</t>
        </is>
      </c>
      <c r="V94" s="2" t="inlineStr">
        <is>
          <t>drupal</t>
        </is>
      </c>
      <c r="W94" s="2" t="inlineStr">
        <is>
          <t>140</t>
        </is>
      </c>
      <c r="X94" s="2" t="inlineStr">
        <is>
          <t>1</t>
        </is>
      </c>
      <c r="Y94" s="2" t="inlineStr">
        <is>
          <t>yes</t>
        </is>
      </c>
      <c r="Z94" s="2" t="inlineStr"/>
      <c r="AA94" s="2" t="inlineStr"/>
      <c r="AB94" s="2" t="inlineStr">
        <is>
          <t>legacy_drupal_historical</t>
        </is>
      </c>
      <c r="AC94" s="2" t="inlineStr"/>
    </row>
    <row r="95">
      <c r="A95" s="2" t="inlineStr">
        <is>
          <t>drupal-147</t>
        </is>
      </c>
      <c r="B95" s="2" t="inlineStr">
        <is>
          <t>2018</t>
        </is>
      </c>
      <c r="C95" s="2" t="inlineStr"/>
      <c r="D95" s="2" t="inlineStr">
        <is>
          <t>A Vision-based navigation system for landing procedure</t>
        </is>
      </c>
      <c r="E95" s="2" t="inlineStr">
        <is>
          <t>Silvio Del Pizzo; Umberto Papa; Salvatore Gaglione; Salvatore Troisi; Giuseppe Del Core</t>
        </is>
      </c>
      <c r="F95" s="2" t="inlineStr">
        <is>
          <t>Silvio Del Pizzo; Salvatore Gaglione; Salvatore Troisi</t>
        </is>
      </c>
      <c r="G95" s="2" t="inlineStr">
        <is>
          <t>Journal Article</t>
        </is>
      </c>
      <c r="H95" s="2" t="inlineStr">
        <is>
          <t>ACTA IMEKO</t>
        </is>
      </c>
      <c r="I95" s="2" t="inlineStr"/>
      <c r="J95" s="2" t="inlineStr"/>
      <c r="K95" s="2" t="inlineStr"/>
      <c r="L95" s="2" t="inlineStr"/>
      <c r="M95" s="2" t="inlineStr"/>
      <c r="N95" s="2" t="inlineStr"/>
      <c r="O95" s="2" t="inlineStr"/>
      <c r="P95" s="2" t="inlineStr"/>
      <c r="Q95" s="2" t="inlineStr"/>
      <c r="R95" s="2" t="inlineStr"/>
      <c r="S95" s="2" t="inlineStr"/>
      <c r="T95" s="2" t="inlineStr"/>
      <c r="U95" s="2" t="inlineStr">
        <is>
          <t>eng</t>
        </is>
      </c>
      <c r="V95" s="2" t="inlineStr">
        <is>
          <t>drupal</t>
        </is>
      </c>
      <c r="W95" s="2" t="inlineStr">
        <is>
          <t>147</t>
        </is>
      </c>
      <c r="X95" s="2" t="inlineStr">
        <is>
          <t>1</t>
        </is>
      </c>
      <c r="Y95" s="2" t="inlineStr">
        <is>
          <t>yes</t>
        </is>
      </c>
      <c r="Z95" s="2" t="inlineStr">
        <is>
          <t>missing_doi</t>
        </is>
      </c>
      <c r="AA95" s="2" t="inlineStr"/>
      <c r="AB95" s="2" t="inlineStr">
        <is>
          <t>legacy_drupal_historical</t>
        </is>
      </c>
      <c r="AC95" s="2" t="inlineStr"/>
    </row>
    <row r="96">
      <c r="A96" s="2" t="inlineStr">
        <is>
          <t>drupal-146</t>
        </is>
      </c>
      <c r="B96" s="2" t="inlineStr">
        <is>
          <t>2018</t>
        </is>
      </c>
      <c r="C96" s="2" t="inlineStr"/>
      <c r="D96" s="2" t="inlineStr">
        <is>
          <t>Non parametric and robust statistics for indoor distance estimation through BLE</t>
        </is>
      </c>
      <c r="E96" s="2" t="inlineStr">
        <is>
          <t>Salvatore Gaglione; Antonio Maratea; Giuseppe Salvi; Antonio Angrisano; Alessandro Nunziata</t>
        </is>
      </c>
      <c r="F96" s="2" t="inlineStr">
        <is>
          <t>Salvatore Gaglione</t>
        </is>
      </c>
      <c r="G96" s="2" t="inlineStr">
        <is>
          <t>Conference Paper</t>
        </is>
      </c>
      <c r="H96" s="2" t="inlineStr">
        <is>
          <t>IEEE EE 2018 proceedings</t>
        </is>
      </c>
      <c r="I96" s="2" t="inlineStr"/>
      <c r="J96" s="2" t="inlineStr"/>
      <c r="K96" s="2" t="inlineStr"/>
      <c r="L96" s="2" t="inlineStr"/>
      <c r="M96" s="2" t="inlineStr"/>
      <c r="N96" s="2" t="inlineStr"/>
      <c r="O96" s="2" t="inlineStr"/>
      <c r="P96" s="2" t="inlineStr"/>
      <c r="Q96" s="2" t="inlineStr"/>
      <c r="R96" s="2" t="inlineStr"/>
      <c r="S96" s="2" t="inlineStr"/>
      <c r="T96" s="2" t="inlineStr"/>
      <c r="U96" s="2" t="inlineStr">
        <is>
          <t>eng</t>
        </is>
      </c>
      <c r="V96" s="2" t="inlineStr">
        <is>
          <t>drupal</t>
        </is>
      </c>
      <c r="W96" s="2" t="inlineStr">
        <is>
          <t>146</t>
        </is>
      </c>
      <c r="X96" s="2" t="inlineStr">
        <is>
          <t>1</t>
        </is>
      </c>
      <c r="Y96" s="2" t="inlineStr">
        <is>
          <t>yes</t>
        </is>
      </c>
      <c r="Z96" s="2" t="inlineStr">
        <is>
          <t>missing_doi</t>
        </is>
      </c>
      <c r="AA96" s="2" t="inlineStr"/>
      <c r="AB96" s="2" t="inlineStr">
        <is>
          <t>legacy_drupal_historical</t>
        </is>
      </c>
      <c r="AC96" s="2" t="inlineStr"/>
    </row>
    <row r="97">
      <c r="A97" s="2" t="inlineStr">
        <is>
          <t>drupal-148</t>
        </is>
      </c>
      <c r="B97" s="2" t="inlineStr">
        <is>
          <t>2018</t>
        </is>
      </c>
      <c r="C97" s="2" t="inlineStr"/>
      <c r="D97" s="2" t="inlineStr">
        <is>
          <t>Position Accuracy Analysis of a Robust Vision-Based Navigation System</t>
        </is>
      </c>
      <c r="E97" s="2" t="inlineStr">
        <is>
          <t>Salvatore Gaglione; Silvio Del Pizzo; Salvatore Troisi; Antonio Angrisano</t>
        </is>
      </c>
      <c r="F97" s="2" t="inlineStr">
        <is>
          <t>Salvatore Gaglione; Silvio Del Pizzo; Salvatore Troisi</t>
        </is>
      </c>
      <c r="G97" s="2" t="inlineStr">
        <is>
          <t>Conference Paper</t>
        </is>
      </c>
      <c r="H97" s="2" t="inlineStr">
        <is>
          <t>Proceedings of ISPRS Technical Commission II "Towards Photogrammetry 2020"</t>
        </is>
      </c>
      <c r="I97" s="2" t="inlineStr"/>
      <c r="J97" s="2" t="inlineStr"/>
      <c r="K97" s="2" t="inlineStr"/>
      <c r="L97" s="2" t="inlineStr"/>
      <c r="M97" s="2" t="inlineStr"/>
      <c r="N97" s="2" t="inlineStr"/>
      <c r="O97" s="2" t="inlineStr"/>
      <c r="P97" s="2" t="inlineStr"/>
      <c r="Q97" s="2" t="inlineStr"/>
      <c r="R97" s="2" t="inlineStr"/>
      <c r="S97" s="2" t="inlineStr"/>
      <c r="T97" s="2" t="inlineStr"/>
      <c r="U97" s="2" t="inlineStr">
        <is>
          <t>eng</t>
        </is>
      </c>
      <c r="V97" s="2" t="inlineStr">
        <is>
          <t>drupal</t>
        </is>
      </c>
      <c r="W97" s="2" t="inlineStr">
        <is>
          <t>148</t>
        </is>
      </c>
      <c r="X97" s="2" t="inlineStr">
        <is>
          <t>1</t>
        </is>
      </c>
      <c r="Y97" s="2" t="inlineStr">
        <is>
          <t>yes</t>
        </is>
      </c>
      <c r="Z97" s="2" t="inlineStr">
        <is>
          <t>missing_doi</t>
        </is>
      </c>
      <c r="AA97" s="2" t="inlineStr"/>
      <c r="AB97" s="2" t="inlineStr">
        <is>
          <t>legacy_drupal_historical</t>
        </is>
      </c>
      <c r="AC97" s="2" t="inlineStr"/>
    </row>
    <row r="98">
      <c r="A98" s="2" t="inlineStr">
        <is>
          <t>drupal-212</t>
        </is>
      </c>
      <c r="B98" s="2" t="inlineStr">
        <is>
          <t>2018</t>
        </is>
      </c>
      <c r="C98" s="2" t="inlineStr"/>
      <c r="D98" s="2" t="inlineStr">
        <is>
          <t>Position accuracy analysis of a robust vision-based navigation system</t>
        </is>
      </c>
      <c r="E98" s="2" t="inlineStr">
        <is>
          <t>Salvatore Gaglione; Silvio Del Pizzo; Salvatore Troisi; Antonio Angrisano</t>
        </is>
      </c>
      <c r="F98" s="2" t="inlineStr">
        <is>
          <t>Salvatore Gaglione; Silvio Del Pizzo; Salvatore Troisi</t>
        </is>
      </c>
      <c r="G98" s="2" t="inlineStr">
        <is>
          <t>Conference Paper</t>
        </is>
      </c>
      <c r="H98" s="2" t="inlineStr">
        <is>
          <t>International Archives of the Photogrammetry, Remote Sensing and Spatial Information Sciences - ISPRS Archives</t>
        </is>
      </c>
      <c r="I98" s="2" t="inlineStr"/>
      <c r="J98" s="2" t="inlineStr"/>
      <c r="K98" s="2" t="inlineStr"/>
      <c r="L98" s="2" t="inlineStr"/>
      <c r="M98" s="2" t="inlineStr"/>
      <c r="N98" s="2" t="inlineStr"/>
      <c r="O98" s="2" t="inlineStr">
        <is>
          <t>10.5194/isprs-archives-XLII-2-355-2018</t>
        </is>
      </c>
      <c r="P98" s="2" t="inlineStr">
        <is>
          <t>10.5194/isprs-archives-XLII-2-355-2018</t>
        </is>
      </c>
      <c r="Q98" s="2" t="inlineStr"/>
      <c r="R98" s="2" t="inlineStr"/>
      <c r="S98" s="2" t="inlineStr">
        <is>
          <t>https://www.scopus.com/inward/record.uri?eid=2-s2.0-85048361729&amp;doi=10.5194%2fisprs-archives-XLII-2-355-2018&amp;partnerID=40&amp;md5=fe395813d5f316330f8bd6b71295b535</t>
        </is>
      </c>
      <c r="T98" s="2" t="inlineStr"/>
      <c r="U98" s="2" t="inlineStr">
        <is>
          <t>eng</t>
        </is>
      </c>
      <c r="V98" s="2" t="inlineStr">
        <is>
          <t>drupal</t>
        </is>
      </c>
      <c r="W98" s="2" t="inlineStr">
        <is>
          <t>212</t>
        </is>
      </c>
      <c r="X98" s="2" t="inlineStr">
        <is>
          <t>1</t>
        </is>
      </c>
      <c r="Y98" s="2" t="inlineStr">
        <is>
          <t>yes</t>
        </is>
      </c>
      <c r="Z98" s="2" t="inlineStr"/>
      <c r="AA98" s="2" t="inlineStr"/>
      <c r="AB98" s="2" t="inlineStr">
        <is>
          <t>legacy_drupal_historical</t>
        </is>
      </c>
      <c r="AC98" s="2" t="inlineStr"/>
    </row>
    <row r="99">
      <c r="A99" s="2" t="inlineStr">
        <is>
          <t>drupal-145</t>
        </is>
      </c>
      <c r="B99" s="2" t="inlineStr">
        <is>
          <t>2018</t>
        </is>
      </c>
      <c r="C99" s="2" t="inlineStr"/>
      <c r="D99" s="2" t="inlineStr">
        <is>
          <t>Reliable vessel attitude estimation by wide angle camera</t>
        </is>
      </c>
      <c r="E99" s="2" t="inlineStr">
        <is>
          <t>Silvio Del Pizzo; Salvatore Gaglione; Antonio Angrisano; Giuseppe Salvi; Salvatore Troisi</t>
        </is>
      </c>
      <c r="F99" s="2" t="inlineStr">
        <is>
          <t>Silvio Del Pizzo; Salvatore Gaglione; Salvatore Troisi</t>
        </is>
      </c>
      <c r="G99" s="2" t="inlineStr">
        <is>
          <t>Journal Article</t>
        </is>
      </c>
      <c r="H99" s="2" t="inlineStr">
        <is>
          <t>Measurement: Journal of the International Measurement Confederation</t>
        </is>
      </c>
      <c r="I99" s="2" t="inlineStr"/>
      <c r="J99" s="2" t="inlineStr"/>
      <c r="K99" s="2" t="inlineStr"/>
      <c r="L99" s="2" t="inlineStr">
        <is>
          <t>127</t>
        </is>
      </c>
      <c r="M99" s="2" t="inlineStr"/>
      <c r="N99" s="2" t="inlineStr">
        <is>
          <t>314-324</t>
        </is>
      </c>
      <c r="O99" s="2" t="inlineStr">
        <is>
          <t>10.1016/j.measurement.2018.05.104</t>
        </is>
      </c>
      <c r="P99" s="2" t="inlineStr">
        <is>
          <t>10.1016/j.measurement.2018.05.104</t>
        </is>
      </c>
      <c r="Q99" s="2" t="inlineStr"/>
      <c r="R99" s="2" t="inlineStr"/>
      <c r="S99" s="2" t="inlineStr">
        <is>
          <t>https://www.scopus.com/inward/record.uri?eid=2-s2.0-85048158987&amp;doi=10.1016%2fj.measurement.2018.05.104&amp;partnerID=40&amp;md5=37a32db506f1bd53d241509ca2094f96</t>
        </is>
      </c>
      <c r="T99" s="2" t="inlineStr"/>
      <c r="U99" s="2" t="inlineStr">
        <is>
          <t>eng</t>
        </is>
      </c>
      <c r="V99" s="2" t="inlineStr">
        <is>
          <t>drupal</t>
        </is>
      </c>
      <c r="W99" s="2" t="inlineStr">
        <is>
          <t>145</t>
        </is>
      </c>
      <c r="X99" s="2" t="inlineStr">
        <is>
          <t>1</t>
        </is>
      </c>
      <c r="Y99" s="2" t="inlineStr">
        <is>
          <t>yes</t>
        </is>
      </c>
      <c r="Z99" s="2" t="inlineStr"/>
      <c r="AA99" s="2" t="inlineStr"/>
      <c r="AB99" s="2" t="inlineStr">
        <is>
          <t>legacy_drupal_historical</t>
        </is>
      </c>
      <c r="AC99" s="2" t="inlineStr"/>
    </row>
    <row r="100">
      <c r="A100" s="2" t="inlineStr">
        <is>
          <t>drupal-211</t>
        </is>
      </c>
      <c r="B100" s="2" t="inlineStr">
        <is>
          <t>2018</t>
        </is>
      </c>
      <c r="C100" s="2" t="inlineStr"/>
      <c r="D100" s="2" t="inlineStr">
        <is>
          <t>Reliable vessel attitude estimation by wide angle camera</t>
        </is>
      </c>
      <c r="E100" s="2" t="inlineStr">
        <is>
          <t>Silvio Del Pizzo; Salvatore Gaglione; Antonio Angrisano; Giuseppe Salvi; Salvatore Troisi</t>
        </is>
      </c>
      <c r="F100" s="2" t="inlineStr">
        <is>
          <t>Silvio Del Pizzo; Salvatore Gaglione; Salvatore Troisi</t>
        </is>
      </c>
      <c r="G100" s="2" t="inlineStr">
        <is>
          <t>Journal Article</t>
        </is>
      </c>
      <c r="H100" s="2" t="inlineStr">
        <is>
          <t>Measurement: Journal of the International Measurement Confederation</t>
        </is>
      </c>
      <c r="I100" s="2" t="inlineStr"/>
      <c r="J100" s="2" t="inlineStr"/>
      <c r="K100" s="2" t="inlineStr"/>
      <c r="L100" s="2" t="inlineStr">
        <is>
          <t>127</t>
        </is>
      </c>
      <c r="M100" s="2" t="inlineStr"/>
      <c r="N100" s="2" t="inlineStr">
        <is>
          <t>314-324</t>
        </is>
      </c>
      <c r="O100" s="2" t="inlineStr">
        <is>
          <t>10.1016/j.measurement.2018.05.104</t>
        </is>
      </c>
      <c r="P100" s="2" t="inlineStr">
        <is>
          <t>10.1016/j.measurement.2018.05.104</t>
        </is>
      </c>
      <c r="Q100" s="2" t="inlineStr"/>
      <c r="R100" s="2" t="inlineStr"/>
      <c r="S100" s="2" t="inlineStr">
        <is>
          <t>https://www.scopus.com/inward/record.uri?eid=2-s2.0-85048158987&amp;doi=10.1016%2fj.measurement.2018.05.104&amp;partnerID=40&amp;md5=37a32db506f1bd53d241509ca2094f96</t>
        </is>
      </c>
      <c r="T100" s="2" t="inlineStr"/>
      <c r="U100" s="2" t="inlineStr">
        <is>
          <t>eng</t>
        </is>
      </c>
      <c r="V100" s="2" t="inlineStr">
        <is>
          <t>drupal</t>
        </is>
      </c>
      <c r="W100" s="2" t="inlineStr">
        <is>
          <t>211</t>
        </is>
      </c>
      <c r="X100" s="2" t="inlineStr">
        <is>
          <t>1</t>
        </is>
      </c>
      <c r="Y100" s="2" t="inlineStr">
        <is>
          <t>yes</t>
        </is>
      </c>
      <c r="Z100" s="2" t="inlineStr"/>
      <c r="AA100" s="2" t="inlineStr"/>
      <c r="AB100" s="2" t="inlineStr">
        <is>
          <t>legacy_drupal_historical</t>
        </is>
      </c>
      <c r="AC100" s="2" t="inlineStr"/>
    </row>
    <row r="101">
      <c r="A101" s="2" t="inlineStr">
        <is>
          <t>drupal-210</t>
        </is>
      </c>
      <c r="B101" s="2" t="inlineStr">
        <is>
          <t>2018</t>
        </is>
      </c>
      <c r="C101" s="2" t="inlineStr"/>
      <c r="D101" s="2" t="inlineStr">
        <is>
          <t>Sensing the submerged landscape of Nisida Roman harbour in the gulf of Naples from integrated measurements on a USV</t>
        </is>
      </c>
      <c r="E101" s="2" t="inlineStr">
        <is>
          <t>Gaia Mattei; Salvatore Troisi; Pietro PC Aucelli; Gerardo Pappone; F. Peluso; M. Stefanile</t>
        </is>
      </c>
      <c r="F101" s="2" t="inlineStr">
        <is>
          <t>Salvatore Troisi</t>
        </is>
      </c>
      <c r="G101" s="2" t="inlineStr">
        <is>
          <t>Journal Article</t>
        </is>
      </c>
      <c r="H101" s="2" t="inlineStr">
        <is>
          <t>Water (Switzerland)</t>
        </is>
      </c>
      <c r="I101" s="2" t="inlineStr"/>
      <c r="J101" s="2" t="inlineStr"/>
      <c r="K101" s="2" t="inlineStr"/>
      <c r="L101" s="2" t="inlineStr">
        <is>
          <t>10</t>
        </is>
      </c>
      <c r="M101" s="2" t="inlineStr"/>
      <c r="N101" s="2" t="inlineStr"/>
      <c r="O101" s="2" t="inlineStr">
        <is>
          <t>10.3390/w10111686</t>
        </is>
      </c>
      <c r="P101" s="2" t="inlineStr">
        <is>
          <t>10.3390/w10111686</t>
        </is>
      </c>
      <c r="Q101" s="2" t="inlineStr"/>
      <c r="R101" s="2" t="inlineStr"/>
      <c r="S101" s="2" t="inlineStr">
        <is>
          <t>https://www.scopus.com/inward/record.uri?eid=2-s2.0-85056797180&amp;doi=10.3390%2fw10111686&amp;partnerID=40&amp;md5=3563d79a9000695bb8aba702e66fe081</t>
        </is>
      </c>
      <c r="T101" s="2" t="inlineStr"/>
      <c r="U101" s="2" t="inlineStr">
        <is>
          <t>eng</t>
        </is>
      </c>
      <c r="V101" s="2" t="inlineStr">
        <is>
          <t>drupal</t>
        </is>
      </c>
      <c r="W101" s="2" t="inlineStr">
        <is>
          <t>210</t>
        </is>
      </c>
      <c r="X101" s="2" t="inlineStr">
        <is>
          <t>1</t>
        </is>
      </c>
      <c r="Y101" s="2" t="inlineStr">
        <is>
          <t>yes</t>
        </is>
      </c>
      <c r="Z101" s="2" t="inlineStr">
        <is>
          <t>ambiguous_author:Aucelli, P.P.C.</t>
        </is>
      </c>
      <c r="AA101" s="2" t="inlineStr"/>
      <c r="AB101" s="2" t="inlineStr">
        <is>
          <t>legacy_drupal_historical</t>
        </is>
      </c>
      <c r="AC101" s="2" t="inlineStr"/>
    </row>
    <row r="102">
      <c r="A102" s="2" t="inlineStr">
        <is>
          <t>drupal-149</t>
        </is>
      </c>
      <c r="B102" s="2" t="inlineStr">
        <is>
          <t>2018</t>
        </is>
      </c>
      <c r="C102" s="2" t="inlineStr"/>
      <c r="D102" s="2" t="inlineStr">
        <is>
          <t>Using local redundancy to improve GNSS absolute positioning in harsh scenario</t>
        </is>
      </c>
      <c r="E102" s="2" t="inlineStr">
        <is>
          <t>Antonio Angrisano; Silvio Del Pizzo; Salvatore Gaglione; Salvatore Troisi; Mario Vultaggio</t>
        </is>
      </c>
      <c r="F102" s="2" t="inlineStr">
        <is>
          <t>Silvio Del Pizzo; Salvatore Gaglione; Salvatore Troisi</t>
        </is>
      </c>
      <c r="G102" s="2" t="inlineStr">
        <is>
          <t>Journal Article</t>
        </is>
      </c>
      <c r="H102" s="2" t="inlineStr">
        <is>
          <t>ACTA IMEKO</t>
        </is>
      </c>
      <c r="I102" s="2" t="inlineStr"/>
      <c r="J102" s="2" t="inlineStr"/>
      <c r="K102" s="2" t="inlineStr"/>
      <c r="L102" s="2" t="inlineStr">
        <is>
          <t>7</t>
        </is>
      </c>
      <c r="M102" s="2" t="inlineStr"/>
      <c r="N102" s="2" t="inlineStr"/>
      <c r="O102" s="2" t="inlineStr">
        <is>
          <t>10.21014/acta_imeko.v7i2.538</t>
        </is>
      </c>
      <c r="P102" s="2" t="inlineStr">
        <is>
          <t>10.21014/acta_imeko.v7i2.538</t>
        </is>
      </c>
      <c r="Q102" s="2" t="inlineStr"/>
      <c r="R102" s="2" t="inlineStr"/>
      <c r="S102" s="2" t="inlineStr"/>
      <c r="T102" s="2" t="inlineStr"/>
      <c r="U102" s="2" t="inlineStr">
        <is>
          <t>eng</t>
        </is>
      </c>
      <c r="V102" s="2" t="inlineStr">
        <is>
          <t>drupal</t>
        </is>
      </c>
      <c r="W102" s="2" t="inlineStr">
        <is>
          <t>149</t>
        </is>
      </c>
      <c r="X102" s="2" t="inlineStr">
        <is>
          <t>1</t>
        </is>
      </c>
      <c r="Y102" s="2" t="inlineStr">
        <is>
          <t>yes</t>
        </is>
      </c>
      <c r="Z102" s="2" t="inlineStr"/>
      <c r="AA102" s="2" t="inlineStr"/>
      <c r="AB102" s="2" t="inlineStr">
        <is>
          <t>legacy_drupal_historical</t>
        </is>
      </c>
      <c r="AC102" s="2" t="inlineStr"/>
    </row>
    <row r="103">
      <c r="A103" s="2" t="inlineStr">
        <is>
          <t>drupal-143</t>
        </is>
      </c>
      <c r="B103" s="2" t="inlineStr">
        <is>
          <t>2017</t>
        </is>
      </c>
      <c r="C103" s="2" t="inlineStr"/>
      <c r="D103" s="2" t="inlineStr">
        <is>
          <t>Enhanced pseudorange weighting scheme using local redundancy</t>
        </is>
      </c>
      <c r="E103" s="2" t="inlineStr">
        <is>
          <t>Antonio Angrisano; Silvio Del Pizzo; Salvatore Gaglione; Salvatore Troisi; Mario Vultaggio</t>
        </is>
      </c>
      <c r="F103" s="2" t="inlineStr">
        <is>
          <t>Silvio Del Pizzo; Salvatore Gaglione; Salvatore Troisi</t>
        </is>
      </c>
      <c r="G103" s="2" t="inlineStr">
        <is>
          <t>Conference Paper</t>
        </is>
      </c>
      <c r="H103" s="2" t="inlineStr">
        <is>
          <t>IMEKO TC19 workshop on Metrology for the Sea</t>
        </is>
      </c>
      <c r="I103" s="2" t="inlineStr"/>
      <c r="J103" s="2" t="inlineStr"/>
      <c r="K103" s="2" t="inlineStr"/>
      <c r="L103" s="2" t="inlineStr"/>
      <c r="M103" s="2" t="inlineStr"/>
      <c r="N103" s="2" t="inlineStr"/>
      <c r="O103" s="2" t="inlineStr"/>
      <c r="P103" s="2" t="inlineStr"/>
      <c r="Q103" s="2" t="inlineStr"/>
      <c r="R103" s="2" t="inlineStr"/>
      <c r="S103" s="2" t="inlineStr"/>
      <c r="T103" s="2" t="inlineStr"/>
      <c r="U103" s="2" t="inlineStr">
        <is>
          <t>eng</t>
        </is>
      </c>
      <c r="V103" s="2" t="inlineStr">
        <is>
          <t>drupal</t>
        </is>
      </c>
      <c r="W103" s="2" t="inlineStr">
        <is>
          <t>143</t>
        </is>
      </c>
      <c r="X103" s="2" t="inlineStr">
        <is>
          <t>1</t>
        </is>
      </c>
      <c r="Y103" s="2" t="inlineStr">
        <is>
          <t>yes</t>
        </is>
      </c>
      <c r="Z103" s="2" t="inlineStr">
        <is>
          <t>missing_doi</t>
        </is>
      </c>
      <c r="AA103" s="2" t="inlineStr"/>
      <c r="AB103" s="2" t="inlineStr">
        <is>
          <t>legacy_drupal_historical</t>
        </is>
      </c>
      <c r="AC103" s="2" t="inlineStr"/>
    </row>
    <row r="104">
      <c r="A104" s="2" t="inlineStr">
        <is>
          <t>drupal-138</t>
        </is>
      </c>
      <c r="B104" s="2" t="inlineStr">
        <is>
          <t>2017</t>
        </is>
      </c>
      <c r="C104" s="2" t="inlineStr"/>
      <c r="D104" s="2" t="inlineStr">
        <is>
          <t>Fuzzy techniques applied to GNSS for quality assessment and reliability testing in difficult signal scenarios</t>
        </is>
      </c>
      <c r="E104" s="2" t="inlineStr">
        <is>
          <t>Anna Innac</t>
        </is>
      </c>
      <c r="F104" s="2" t="inlineStr"/>
      <c r="G104" s="2" t="inlineStr">
        <is>
          <t>Thesis</t>
        </is>
      </c>
      <c r="H104" s="2" t="inlineStr"/>
      <c r="I104" s="2" t="inlineStr"/>
      <c r="J104" s="2" t="inlineStr"/>
      <c r="K104" s="2" t="inlineStr"/>
      <c r="L104" s="2" t="inlineStr"/>
      <c r="M104" s="2" t="inlineStr"/>
      <c r="N104" s="2" t="inlineStr"/>
      <c r="O104" s="2" t="inlineStr"/>
      <c r="P104" s="2" t="inlineStr"/>
      <c r="Q104" s="2" t="inlineStr"/>
      <c r="R104" s="2" t="inlineStr"/>
      <c r="S104" s="2" t="inlineStr"/>
      <c r="T104" s="2" t="inlineStr"/>
      <c r="U104" s="2" t="inlineStr">
        <is>
          <t>eng</t>
        </is>
      </c>
      <c r="V104" s="2" t="inlineStr">
        <is>
          <t>drupal</t>
        </is>
      </c>
      <c r="W104" s="2" t="inlineStr">
        <is>
          <t>138</t>
        </is>
      </c>
      <c r="X104" s="2" t="inlineStr">
        <is>
          <t>1</t>
        </is>
      </c>
      <c r="Y104" s="2" t="inlineStr">
        <is>
          <t>yes</t>
        </is>
      </c>
      <c r="Z104" s="2" t="inlineStr">
        <is>
          <t>missing_doi</t>
        </is>
      </c>
      <c r="AA104" s="2" t="inlineStr"/>
      <c r="AB104" s="2" t="inlineStr">
        <is>
          <t>legacy_drupal_historical</t>
        </is>
      </c>
      <c r="AC104" s="2" t="inlineStr"/>
    </row>
    <row r="105">
      <c r="A105" s="2" t="inlineStr">
        <is>
          <t>drupal-142</t>
        </is>
      </c>
      <c r="B105" s="2" t="inlineStr">
        <is>
          <t>2017</t>
        </is>
      </c>
      <c r="C105" s="2" t="inlineStr"/>
      <c r="D105" s="2" t="inlineStr">
        <is>
          <t>PERSEO (Piattaforma Embedded per la Ricerca del Sentiero di atterraggio ed Ostacoli) - Embedded Platform for UAS Landing Path and Obstacles Detection.</t>
        </is>
      </c>
      <c r="E105" s="2" t="inlineStr">
        <is>
          <t>Umberto Papa</t>
        </is>
      </c>
      <c r="F105" s="2" t="inlineStr"/>
      <c r="G105" s="2" t="inlineStr">
        <is>
          <t>Thesis</t>
        </is>
      </c>
      <c r="H105" s="2" t="inlineStr"/>
      <c r="I105" s="2" t="inlineStr"/>
      <c r="J105" s="2" t="inlineStr"/>
      <c r="K105" s="2" t="inlineStr"/>
      <c r="L105" s="2" t="inlineStr"/>
      <c r="M105" s="2" t="inlineStr"/>
      <c r="N105" s="2" t="inlineStr"/>
      <c r="O105" s="2" t="inlineStr"/>
      <c r="P105" s="2" t="inlineStr"/>
      <c r="Q105" s="2" t="inlineStr"/>
      <c r="R105" s="2" t="inlineStr"/>
      <c r="S105" s="2" t="inlineStr"/>
      <c r="T105" s="2" t="inlineStr"/>
      <c r="U105" s="2" t="inlineStr">
        <is>
          <t>eng</t>
        </is>
      </c>
      <c r="V105" s="2" t="inlineStr">
        <is>
          <t>drupal</t>
        </is>
      </c>
      <c r="W105" s="2" t="inlineStr">
        <is>
          <t>142</t>
        </is>
      </c>
      <c r="X105" s="2" t="inlineStr">
        <is>
          <t>1</t>
        </is>
      </c>
      <c r="Y105" s="2" t="inlineStr">
        <is>
          <t>yes</t>
        </is>
      </c>
      <c r="Z105" s="2" t="inlineStr">
        <is>
          <t>missing_doi</t>
        </is>
      </c>
      <c r="AA105" s="2" t="inlineStr"/>
      <c r="AB105" s="2" t="inlineStr">
        <is>
          <t>legacy_drupal_historical</t>
        </is>
      </c>
      <c r="AC105" s="2" t="inlineStr"/>
    </row>
    <row r="106">
      <c r="A106" s="2" t="inlineStr">
        <is>
          <t>drupal-137</t>
        </is>
      </c>
      <c r="B106" s="2" t="inlineStr">
        <is>
          <t>2017</t>
        </is>
      </c>
      <c r="C106" s="2" t="inlineStr"/>
      <c r="D106" s="2" t="inlineStr">
        <is>
          <t>Robust Estimation Methods Applied to GPS in Harsh Environments</t>
        </is>
      </c>
      <c r="E106" s="2" t="inlineStr">
        <is>
          <t>Salvatore Gaglione; Anna Innac; Sonia Carbone Pastore; Salvatore Troisi; Antonio Angrisano</t>
        </is>
      </c>
      <c r="F106" s="2" t="inlineStr">
        <is>
          <t>Salvatore Gaglione; Salvatore Troisi</t>
        </is>
      </c>
      <c r="G106" s="2" t="inlineStr">
        <is>
          <t>Miscellaneous</t>
        </is>
      </c>
      <c r="H106" s="2" t="inlineStr"/>
      <c r="I106" s="2" t="inlineStr"/>
      <c r="J106" s="2" t="inlineStr"/>
      <c r="K106" s="2" t="inlineStr"/>
      <c r="L106" s="2" t="inlineStr"/>
      <c r="M106" s="2" t="inlineStr"/>
      <c r="N106" s="2" t="inlineStr"/>
      <c r="O106" s="2" t="inlineStr"/>
      <c r="P106" s="2" t="inlineStr"/>
      <c r="Q106" s="2" t="inlineStr"/>
      <c r="R106" s="2" t="inlineStr"/>
      <c r="S106" s="2" t="inlineStr"/>
      <c r="T106" s="2" t="inlineStr">
        <is>
          <t>Satellite navigation is very widespread in civil society; many devices and services exploit this technology and several systems are in use or in development phase. GNSS receiver, embedded in devices used in daily life (smartphones, cars and so on), works in several conditions and operational scenarios. Ensuring good positioning accuracy is challenging, especially in environment where receiver measurements are affected by gross errors, such as urban canyons. In this paper, the benefit of robust estimators in case of multiple simultaneous blunders is investigated; several robust estimators were implemented and their performances are compared with classical techniques used in GNSS context (WLS, RAIM) using real data. Effectiveness of these methods raised from tests conducted in static and kinematic mode.</t>
        </is>
      </c>
      <c r="U106" s="2" t="inlineStr">
        <is>
          <t>eng</t>
        </is>
      </c>
      <c r="V106" s="2" t="inlineStr">
        <is>
          <t>drupal</t>
        </is>
      </c>
      <c r="W106" s="2" t="inlineStr">
        <is>
          <t>137</t>
        </is>
      </c>
      <c r="X106" s="2" t="inlineStr">
        <is>
          <t>1</t>
        </is>
      </c>
      <c r="Y106" s="2" t="inlineStr">
        <is>
          <t>yes</t>
        </is>
      </c>
      <c r="Z106" s="2" t="inlineStr">
        <is>
          <t>missing_doi</t>
        </is>
      </c>
      <c r="AA106" s="2" t="inlineStr"/>
      <c r="AB106" s="2" t="inlineStr">
        <is>
          <t>legacy_drupal_historical</t>
        </is>
      </c>
      <c r="AC106" s="2" t="inlineStr"/>
    </row>
    <row r="107">
      <c r="A107" s="2" t="inlineStr">
        <is>
          <t>drupal-144</t>
        </is>
      </c>
      <c r="B107" s="2" t="inlineStr">
        <is>
          <t>2017</t>
        </is>
      </c>
      <c r="C107" s="2" t="inlineStr"/>
      <c r="D107" s="2" t="inlineStr">
        <is>
          <t>Vessel attitude estimation by camera sensors</t>
        </is>
      </c>
      <c r="E107" s="2" t="inlineStr">
        <is>
          <t>Silvio Del Pizzo; Salvatore Gaglione; Antonio Angrisano; Giuseppe Salvi; Salvatore Troisi</t>
        </is>
      </c>
      <c r="F107" s="2" t="inlineStr">
        <is>
          <t>Silvio Del Pizzo; Salvatore Gaglione; Salvatore Troisi</t>
        </is>
      </c>
      <c r="G107" s="2" t="inlineStr">
        <is>
          <t>Conference Paper</t>
        </is>
      </c>
      <c r="H107" s="2" t="inlineStr">
        <is>
          <t>IMEKO TC19 workshop on Metrology for the Sea</t>
        </is>
      </c>
      <c r="I107" s="2" t="inlineStr"/>
      <c r="J107" s="2" t="inlineStr"/>
      <c r="K107" s="2" t="inlineStr"/>
      <c r="L107" s="2" t="inlineStr"/>
      <c r="M107" s="2" t="inlineStr"/>
      <c r="N107" s="2" t="inlineStr"/>
      <c r="O107" s="2" t="inlineStr"/>
      <c r="P107" s="2" t="inlineStr"/>
      <c r="Q107" s="2" t="inlineStr"/>
      <c r="R107" s="2" t="inlineStr"/>
      <c r="S107" s="2" t="inlineStr"/>
      <c r="T107" s="2" t="inlineStr"/>
      <c r="U107" s="2" t="inlineStr">
        <is>
          <t>eng</t>
        </is>
      </c>
      <c r="V107" s="2" t="inlineStr">
        <is>
          <t>drupal</t>
        </is>
      </c>
      <c r="W107" s="2" t="inlineStr">
        <is>
          <t>144</t>
        </is>
      </c>
      <c r="X107" s="2" t="inlineStr">
        <is>
          <t>1</t>
        </is>
      </c>
      <c r="Y107" s="2" t="inlineStr">
        <is>
          <t>yes</t>
        </is>
      </c>
      <c r="Z107" s="2" t="inlineStr">
        <is>
          <t>missing_doi</t>
        </is>
      </c>
      <c r="AA107" s="2" t="inlineStr"/>
      <c r="AB107" s="2" t="inlineStr">
        <is>
          <t>legacy_drupal_historical</t>
        </is>
      </c>
      <c r="AC107" s="2" t="inlineStr"/>
    </row>
    <row r="108">
      <c r="A108" s="2" t="inlineStr">
        <is>
          <t>drupal-135</t>
        </is>
      </c>
      <c r="B108" s="2" t="inlineStr">
        <is>
          <t>2016</t>
        </is>
      </c>
      <c r="C108" s="2" t="inlineStr">
        <is>
          <t>May</t>
        </is>
      </c>
      <c r="D108" s="2" t="inlineStr">
        <is>
          <t>Reliability testing for multiple GNSS measurement outlier detection</t>
        </is>
      </c>
      <c r="E108" s="2" t="inlineStr">
        <is>
          <t>Anna Innac; M. Z. H. Bhuiyan; S. Söderholm; H. Kuusniemi; Salvatore Gaglione</t>
        </is>
      </c>
      <c r="F108" s="2" t="inlineStr">
        <is>
          <t>Salvatore Gaglione</t>
        </is>
      </c>
      <c r="G108" s="2" t="inlineStr">
        <is>
          <t>Conference Paper</t>
        </is>
      </c>
      <c r="H108" s="2" t="inlineStr">
        <is>
          <t>2016 European Navigation Conference (ENC)</t>
        </is>
      </c>
      <c r="I108" s="2" t="inlineStr"/>
      <c r="J108" s="2" t="inlineStr"/>
      <c r="K108" s="2" t="inlineStr"/>
      <c r="L108" s="2" t="inlineStr"/>
      <c r="M108" s="2" t="inlineStr"/>
      <c r="N108" s="2" t="inlineStr"/>
      <c r="O108" s="2" t="inlineStr">
        <is>
          <t>10.1109/EURONAV.2016.7530540</t>
        </is>
      </c>
      <c r="P108" s="2" t="inlineStr">
        <is>
          <t>10.1109/EURONAV.2016.7530540</t>
        </is>
      </c>
      <c r="Q108" s="2" t="inlineStr"/>
      <c r="R108" s="2" t="inlineStr"/>
      <c r="S108" s="2" t="inlineStr"/>
      <c r="T108" s="2" t="inlineStr">
        <is>
          <t>Due to a rapid development of several Global Navigation Satellite Systems (GNSS), multiple constellations are available to enhance navigation performance and safety. With the growing number of satellite constellations, the task of the GNSS navigation is to deal with the differences among systems but, on the other hand, more great levels of integrity and satellite visibility can be expected. GNSS navigation applications have difficulties in signal degraded scenarios where the GNSS solution can be degraded by errors such as multipath and signals being obscured. RAIM (Receiver Autonomous Integrity Monitoring) is a method necessary for assessing integrity performance levels mainly in safety-critical applications. Classical RAIM techniques are based on the assumption model of a single outlier in the measurements, but with a future of higher satellite availability and for navigation conducted in urban canyon scenarios, the single outlier assumption is unrealistic. Therefore, reliability monitoring techniques need to be modified to be suitable for use cases with high signal degradation levels. The FDE (Fault Detection and Exclusion) schemes analysed in this research for reliability monitoring are the “Observation Subset Testing” and a modified approach based on a w-test (called in this paper Multiple Faults De-weighting-MFD). In order to improve their performance a novel Channel Quality Index (CQI) parameter was used to describe the measurement confidence and quality. To validate the proposed approaches, tests have been performed using simulated data with GPS, Galileo and BeiDou signals in a multipath environment.</t>
        </is>
      </c>
      <c r="U108" s="2" t="inlineStr">
        <is>
          <t>eng</t>
        </is>
      </c>
      <c r="V108" s="2" t="inlineStr">
        <is>
          <t>drupal</t>
        </is>
      </c>
      <c r="W108" s="2" t="inlineStr">
        <is>
          <t>135</t>
        </is>
      </c>
      <c r="X108" s="2" t="inlineStr">
        <is>
          <t>1</t>
        </is>
      </c>
      <c r="Y108" s="2" t="inlineStr">
        <is>
          <t>yes</t>
        </is>
      </c>
      <c r="Z108" s="2" t="inlineStr"/>
      <c r="AA108" s="2" t="inlineStr"/>
      <c r="AB108" s="2" t="inlineStr">
        <is>
          <t>legacy_drupal_historical</t>
        </is>
      </c>
      <c r="AC108" s="2" t="inlineStr"/>
    </row>
    <row r="109">
      <c r="A109" s="2" t="inlineStr">
        <is>
          <t>drupal-136</t>
        </is>
      </c>
      <c r="B109" s="2" t="inlineStr">
        <is>
          <t>2016</t>
        </is>
      </c>
      <c r="C109" s="2" t="inlineStr">
        <is>
          <t>2016//</t>
        </is>
      </c>
      <c r="D109" s="2" t="inlineStr">
        <is>
          <t>The overall motion induced interruptions as operability criterion for fishing vessels</t>
        </is>
      </c>
      <c r="E109" s="2" t="inlineStr">
        <is>
          <t>Salvatore Gaglione; Vincenzo Piscopo; Antonio Scamardella</t>
        </is>
      </c>
      <c r="F109" s="2" t="inlineStr">
        <is>
          <t>Salvatore Gaglione; Vincenzo Piscopo; Antonio Scamardella</t>
        </is>
      </c>
      <c r="G109" s="2" t="inlineStr">
        <is>
          <t>Journal Article</t>
        </is>
      </c>
      <c r="H109" s="2" t="inlineStr"/>
      <c r="I109" s="2" t="inlineStr"/>
      <c r="J109" s="2" t="inlineStr"/>
      <c r="K109" s="2" t="inlineStr"/>
      <c r="L109" s="2" t="inlineStr">
        <is>
          <t>21</t>
        </is>
      </c>
      <c r="M109" s="2" t="inlineStr">
        <is>
          <t>3</t>
        </is>
      </c>
      <c r="N109" s="2" t="inlineStr">
        <is>
          <t>517 - 532</t>
        </is>
      </c>
      <c r="O109" s="2" t="inlineStr"/>
      <c r="P109" s="2" t="inlineStr"/>
      <c r="Q109" s="2" t="inlineStr"/>
      <c r="R109" s="2" t="inlineStr">
        <is>
          <t>1437-8213</t>
        </is>
      </c>
      <c r="S109" s="2" t="inlineStr">
        <is>
          <t>http://dx.doi.org/10.1007/s00773-016-0373-2</t>
        </is>
      </c>
      <c r="T109" s="2" t="inlineStr">
        <is>
          <t>A new index, namely the overall motion induced interruptions (OMII), is proposed as a seakeeping criterion for fishing vessels, to compare ships having different hull forms and dimensions by means of an only parameter, in a human centred approach, mainly related to the onboard risk level. Therefore, the first aim of the paper is to investigate the factors affecting fishing vessels’ seakeeping performances to improve them to reduce the high number of injuries occurring during fishing operations, mainly related to both risk perception and harsh weather conditions. Despite the classical approach, where motion induced interruption is determined for a certain sea state with regard to several location points, the new index accounts for all crew members’ positions on the working deck, all heading angles the vessel may experience during fishing operations, based on relevant operating scenario, and all sea states the ship may encounter in the fishing area. The influence of position, heading angles and sea states on the attained risk level is fully investigated, analysing seakeeping performances of four fishing vessels with different hull forms and dimensions. Finally, a new operability criterion is proposed, based on OMII, to investigate the influence of ship size and operating scenario on the risk of injuries during fishing operations. Main factors affecting fishing vessels’ seakeeping performances are fully discussed, paying attention to relevant correlation with ship roll natural period.</t>
        </is>
      </c>
      <c r="U109" s="2" t="inlineStr">
        <is>
          <t>eng</t>
        </is>
      </c>
      <c r="V109" s="2" t="inlineStr">
        <is>
          <t>drupal</t>
        </is>
      </c>
      <c r="W109" s="2" t="inlineStr">
        <is>
          <t>136</t>
        </is>
      </c>
      <c r="X109" s="2" t="inlineStr">
        <is>
          <t>1</t>
        </is>
      </c>
      <c r="Y109" s="2" t="inlineStr">
        <is>
          <t>yes</t>
        </is>
      </c>
      <c r="Z109" s="2" t="inlineStr">
        <is>
          <t>missing_doi</t>
        </is>
      </c>
      <c r="AA109" s="2" t="inlineStr"/>
      <c r="AB109" s="2" t="inlineStr">
        <is>
          <t>legacy_drupal_historical</t>
        </is>
      </c>
      <c r="AC109" s="2" t="inlineStr"/>
    </row>
    <row r="110">
      <c r="A110" s="2" t="inlineStr">
        <is>
          <t>drupal-128</t>
        </is>
      </c>
      <c r="B110" s="2" t="inlineStr">
        <is>
          <t>2015</t>
        </is>
      </c>
      <c r="C110" s="2" t="inlineStr">
        <is>
          <t>16–17 April</t>
        </is>
      </c>
      <c r="D110" s="2" t="inlineStr">
        <is>
          <t>3D Models Comparison of complex shell in Undewater and dry Environments</t>
        </is>
      </c>
      <c r="E110" s="2" t="inlineStr">
        <is>
          <t>Salvatore Troisi; Silvio Del Pizzo; Salvatore Gaglione; A Miccio; Rosa Linda Testa</t>
        </is>
      </c>
      <c r="F110" s="2" t="inlineStr">
        <is>
          <t>Salvatore Troisi; Silvio Del Pizzo; Salvatore Gaglione</t>
        </is>
      </c>
      <c r="G110" s="2" t="inlineStr">
        <is>
          <t>Conference Paper</t>
        </is>
      </c>
      <c r="H110" s="2" t="inlineStr">
        <is>
          <t>Underwater 3D Recording and Modeling</t>
        </is>
      </c>
      <c r="I110" s="2" t="inlineStr"/>
      <c r="J110" s="2" t="inlineStr">
        <is>
          <t>F. Menna, E. Nocerino, S. Del Pizzo, F. Bruno, and</t>
        </is>
      </c>
      <c r="K110" s="2" t="inlineStr"/>
      <c r="L110" s="2" t="inlineStr"/>
      <c r="M110" s="2" t="inlineStr"/>
      <c r="N110" s="2" t="inlineStr"/>
      <c r="O110" s="2" t="inlineStr">
        <is>
          <t>10.5194/isprsarchives-XL-5-W5-215-2015</t>
        </is>
      </c>
      <c r="P110" s="2" t="inlineStr">
        <is>
          <t>10.5194/isprsarchives-XL-5-W5-215-2015</t>
        </is>
      </c>
      <c r="Q110" s="2" t="inlineStr"/>
      <c r="R110" s="2" t="inlineStr"/>
      <c r="S110" s="2" t="inlineStr">
        <is>
          <t>http://dx.medra.org/10.5194/isprsarchives-XL-5-W5-215-2015</t>
        </is>
      </c>
      <c r="T110" s="2" t="inlineStr">
        <is>
          <t>In marine biology the shape, morphology, texture and dimensions of the shells and organisms like sponges and gorgonians are very important parameters. For example, a particular type of gorgonian grows every year only few millimeters; this estimation was conducted without any measurement instrument but it has been provided after successive observational studies, because this organism is very fragile: the contact could compromise its structure and outliving. Non-contact measurement system has to be used to preserve such organisms: the photogrammetry is a method capable to assure high accuracy without contact. Nevertheless, the achievement of a 3D photogrammetric model of complex object (as gorgonians or particular shells) is a challenge in normal environments, either with metric camera or with consumer camera. Indeed, the successful of automatic target-less image orientation and the image matching algorithms is strictly correlated to the object texture properties and of camera calibration quality as well. In the underwater scenario, the environment conditions strongly influence the results quality; in particular, water's turbidity, the presence of suspension, flare and other optical aberrations decrease the image quality reducing the accuracy and increasing the noise on the 3D model. Furthermore, seawater density variability influences its refraction index and consequently the interior orientation camera parameters. For this reason, the camera calibration has to be performed in the same survey conditions. In this paper, a comparison between the 3D models of a Charonia Tritonis shell are carried out through surveys conducted both in dry and underwater environments.</t>
        </is>
      </c>
      <c r="U110" s="2" t="inlineStr">
        <is>
          <t>eng</t>
        </is>
      </c>
      <c r="V110" s="2" t="inlineStr">
        <is>
          <t>drupal</t>
        </is>
      </c>
      <c r="W110" s="2" t="inlineStr">
        <is>
          <t>128</t>
        </is>
      </c>
      <c r="X110" s="2" t="inlineStr">
        <is>
          <t>1</t>
        </is>
      </c>
      <c r="Y110" s="2" t="inlineStr">
        <is>
          <t>yes</t>
        </is>
      </c>
      <c r="Z110" s="2" t="inlineStr">
        <is>
          <t>ambiguous_author:Testa, R L</t>
        </is>
      </c>
      <c r="AA110" s="2" t="inlineStr"/>
      <c r="AB110" s="2" t="inlineStr">
        <is>
          <t>legacy_drupal_historical</t>
        </is>
      </c>
      <c r="AC110" s="2" t="inlineStr"/>
    </row>
    <row r="111">
      <c r="A111" s="2" t="inlineStr">
        <is>
          <t>drupal-113</t>
        </is>
      </c>
      <c r="B111" s="2" t="inlineStr">
        <is>
          <t>2015</t>
        </is>
      </c>
      <c r="C111" s="2" t="inlineStr"/>
      <c r="D111" s="2" t="inlineStr">
        <is>
          <t>A Galileo IOV Assessment: Measurement and Position Domain</t>
        </is>
      </c>
      <c r="E111" s="2" t="inlineStr">
        <is>
          <t>Ciro Gioia; Daniele Borio; Antonio Angrisano; Salvatore Gaglione; Joaquim Fortuny-Guasch</t>
        </is>
      </c>
      <c r="F111" s="2" t="inlineStr">
        <is>
          <t>Salvatore Gaglione</t>
        </is>
      </c>
      <c r="G111" s="2" t="inlineStr">
        <is>
          <t>Journal Article</t>
        </is>
      </c>
      <c r="H111" s="2" t="inlineStr">
        <is>
          <t>GPS Solution</t>
        </is>
      </c>
      <c r="I111" s="2" t="inlineStr"/>
      <c r="J111" s="2" t="inlineStr"/>
      <c r="K111" s="2" t="inlineStr"/>
      <c r="L111" s="2" t="inlineStr">
        <is>
          <t>19</t>
        </is>
      </c>
      <c r="M111" s="2" t="inlineStr">
        <is>
          <t>2</t>
        </is>
      </c>
      <c r="N111" s="2" t="inlineStr">
        <is>
          <t>199</t>
        </is>
      </c>
      <c r="O111" s="2" t="inlineStr">
        <is>
          <t>10.1007/s10291-014-0379-3</t>
        </is>
      </c>
      <c r="P111" s="2" t="inlineStr">
        <is>
          <t>10.1007/s10291-014-0379-3</t>
        </is>
      </c>
      <c r="Q111" s="2" t="inlineStr"/>
      <c r="R111" s="2" t="inlineStr"/>
      <c r="S111" s="2" t="inlineStr"/>
      <c r="T111" s="2" t="inlineStr">
        <is>
          <t>The European GNSS, Galileo, is currently in its in-orbit validation (IOV) phase where four satellites are finally available for computing the user position. In this phase, the analysis of the measurements and position velocity and time (PVT) obtained from the IOV satellites can provide insight into the potentialities of the Galileo system. A methodology is suggested for the analysis of the Galileo IOV pseudorange and pseudorange rates collected from the E1 and E5 frequencies. Several days of data were collected and processed to determine figures of merit such as root mean square and maximum errors of the Galileo observables. From the analysis, it emerges that Galileo is able to achieve better accuracy than GPS. A thorough analysis of the PVT performance is also carried out using broadcast ephemerides. Galileo and GPS PVTs are compared under similar geometry conditions showing the potential of the Galileo system.</t>
        </is>
      </c>
      <c r="U111" s="2" t="inlineStr">
        <is>
          <t>eng</t>
        </is>
      </c>
      <c r="V111" s="2" t="inlineStr">
        <is>
          <t>drupal</t>
        </is>
      </c>
      <c r="W111" s="2" t="inlineStr">
        <is>
          <t>113</t>
        </is>
      </c>
      <c r="X111" s="2" t="inlineStr">
        <is>
          <t>1</t>
        </is>
      </c>
      <c r="Y111" s="2" t="inlineStr">
        <is>
          <t>yes</t>
        </is>
      </c>
      <c r="Z111" s="2" t="inlineStr"/>
      <c r="AA111" s="2" t="inlineStr"/>
      <c r="AB111" s="2" t="inlineStr">
        <is>
          <t>legacy_drupal_historical</t>
        </is>
      </c>
      <c r="AC111" s="2" t="inlineStr"/>
    </row>
    <row r="112">
      <c r="A112" s="2" t="inlineStr">
        <is>
          <t>drupal-129</t>
        </is>
      </c>
      <c r="B112" s="2" t="inlineStr">
        <is>
          <t>2015</t>
        </is>
      </c>
      <c r="C112" s="2" t="inlineStr">
        <is>
          <t>June</t>
        </is>
      </c>
      <c r="D112" s="2" t="inlineStr">
        <is>
          <t>Benefit of GNSS multiconstellation in position and velocity domain</t>
        </is>
      </c>
      <c r="E112" s="2" t="inlineStr">
        <is>
          <t>Salvatore Gaglione; Antonio Angrisano; Pierluigi Freda; Anna Innac; Mario Vultaggio; N. Crocetto</t>
        </is>
      </c>
      <c r="F112" s="2" t="inlineStr">
        <is>
          <t>Salvatore Gaglione</t>
        </is>
      </c>
      <c r="G112" s="2" t="inlineStr">
        <is>
          <t>Conference Paper</t>
        </is>
      </c>
      <c r="H112" s="2" t="inlineStr">
        <is>
          <t>Metrology for Aerospace (MetroAeroSpace), 2015 IEEE</t>
        </is>
      </c>
      <c r="I112" s="2" t="inlineStr"/>
      <c r="J112" s="2" t="inlineStr"/>
      <c r="K112" s="2" t="inlineStr"/>
      <c r="L112" s="2" t="inlineStr"/>
      <c r="M112" s="2" t="inlineStr"/>
      <c r="N112" s="2" t="inlineStr"/>
      <c r="O112" s="2" t="inlineStr">
        <is>
          <t>10.1109/MetroAeroSpace.2015.7180618</t>
        </is>
      </c>
      <c r="P112" s="2" t="inlineStr">
        <is>
          <t>10.1109/MetroAeroSpace.2015.7180618</t>
        </is>
      </c>
      <c r="Q112" s="2" t="inlineStr"/>
      <c r="R112" s="2" t="inlineStr"/>
      <c r="S112" s="2" t="inlineStr"/>
      <c r="T112" s="2" t="inlineStr"/>
      <c r="U112" s="2" t="inlineStr">
        <is>
          <t>eng</t>
        </is>
      </c>
      <c r="V112" s="2" t="inlineStr">
        <is>
          <t>drupal</t>
        </is>
      </c>
      <c r="W112" s="2" t="inlineStr">
        <is>
          <t>129</t>
        </is>
      </c>
      <c r="X112" s="2" t="inlineStr">
        <is>
          <t>1</t>
        </is>
      </c>
      <c r="Y112" s="2" t="inlineStr">
        <is>
          <t>yes</t>
        </is>
      </c>
      <c r="Z112" s="2" t="inlineStr"/>
      <c r="AA112" s="2" t="inlineStr"/>
      <c r="AB112" s="2" t="inlineStr">
        <is>
          <t>legacy_drupal_historical</t>
        </is>
      </c>
      <c r="AC112" s="2" t="inlineStr"/>
    </row>
    <row r="113">
      <c r="A113" s="2" t="inlineStr">
        <is>
          <t>drupal-131</t>
        </is>
      </c>
      <c r="B113" s="2" t="inlineStr">
        <is>
          <t>2015</t>
        </is>
      </c>
      <c r="C113" s="2" t="inlineStr">
        <is>
          <t>June</t>
        </is>
      </c>
      <c r="D113" s="2" t="inlineStr">
        <is>
          <t>GPS/Barometer augmented navigation system: Integration and integrity monitoring</t>
        </is>
      </c>
      <c r="E113" s="2" t="inlineStr">
        <is>
          <t>Salvatore Gaglione; Antonio Angrisano; Gaetano Castaldo; Ciro Gioia; Anna Innac; L. Perrotta; Giuseppe Del Core; Salvatore Troisi</t>
        </is>
      </c>
      <c r="F113" s="2" t="inlineStr">
        <is>
          <t>Salvatore Gaglione; Salvatore Troisi</t>
        </is>
      </c>
      <c r="G113" s="2" t="inlineStr">
        <is>
          <t>Conference Paper</t>
        </is>
      </c>
      <c r="H113" s="2" t="inlineStr">
        <is>
          <t>Metrology for Aerospace (MetroAeroSpace), 2015 IEEE</t>
        </is>
      </c>
      <c r="I113" s="2" t="inlineStr"/>
      <c r="J113" s="2" t="inlineStr"/>
      <c r="K113" s="2" t="inlineStr"/>
      <c r="L113" s="2" t="inlineStr"/>
      <c r="M113" s="2" t="inlineStr"/>
      <c r="N113" s="2" t="inlineStr"/>
      <c r="O113" s="2" t="inlineStr">
        <is>
          <t>10.1109/MetroAeroSpace.2015.7180647</t>
        </is>
      </c>
      <c r="P113" s="2" t="inlineStr">
        <is>
          <t>10.1109/MetroAeroSpace.2015.7180647</t>
        </is>
      </c>
      <c r="Q113" s="2" t="inlineStr"/>
      <c r="R113" s="2" t="inlineStr"/>
      <c r="S113" s="2" t="inlineStr"/>
      <c r="T113" s="2" t="inlineStr"/>
      <c r="U113" s="2" t="inlineStr">
        <is>
          <t>eng</t>
        </is>
      </c>
      <c r="V113" s="2" t="inlineStr">
        <is>
          <t>drupal</t>
        </is>
      </c>
      <c r="W113" s="2" t="inlineStr">
        <is>
          <t>131</t>
        </is>
      </c>
      <c r="X113" s="2" t="inlineStr">
        <is>
          <t>1</t>
        </is>
      </c>
      <c r="Y113" s="2" t="inlineStr">
        <is>
          <t>yes</t>
        </is>
      </c>
      <c r="Z113" s="2" t="inlineStr"/>
      <c r="AA113" s="2" t="inlineStr"/>
      <c r="AB113" s="2" t="inlineStr">
        <is>
          <t>legacy_drupal_historical</t>
        </is>
      </c>
      <c r="AC113" s="2" t="inlineStr"/>
    </row>
    <row r="114">
      <c r="A114" s="2" t="inlineStr">
        <is>
          <t>drupal-130</t>
        </is>
      </c>
      <c r="B114" s="2" t="inlineStr">
        <is>
          <t>2015</t>
        </is>
      </c>
      <c r="C114" s="2" t="inlineStr">
        <is>
          <t>June</t>
        </is>
      </c>
      <c r="D114" s="2" t="inlineStr">
        <is>
          <t>Inter-system Bias: Stability and impact on multi-constellation positioning</t>
        </is>
      </c>
      <c r="E114" s="2" t="inlineStr">
        <is>
          <t>Ciro Gioia; Salvatore Gaglione; Daniele Borio</t>
        </is>
      </c>
      <c r="F114" s="2" t="inlineStr">
        <is>
          <t>Salvatore Gaglione</t>
        </is>
      </c>
      <c r="G114" s="2" t="inlineStr">
        <is>
          <t>Conference Paper</t>
        </is>
      </c>
      <c r="H114" s="2" t="inlineStr">
        <is>
          <t>Metrology for Aerospace (MetroAeroSpace), 2015 IEEE</t>
        </is>
      </c>
      <c r="I114" s="2" t="inlineStr"/>
      <c r="J114" s="2" t="inlineStr"/>
      <c r="K114" s="2" t="inlineStr"/>
      <c r="L114" s="2" t="inlineStr"/>
      <c r="M114" s="2" t="inlineStr"/>
      <c r="N114" s="2" t="inlineStr"/>
      <c r="O114" s="2" t="inlineStr">
        <is>
          <t>10.1109/MetroAeroSpace.2015.7180635</t>
        </is>
      </c>
      <c r="P114" s="2" t="inlineStr">
        <is>
          <t>10.1109/MetroAeroSpace.2015.7180635</t>
        </is>
      </c>
      <c r="Q114" s="2" t="inlineStr"/>
      <c r="R114" s="2" t="inlineStr"/>
      <c r="S114" s="2" t="inlineStr"/>
      <c r="T114" s="2" t="inlineStr"/>
      <c r="U114" s="2" t="inlineStr">
        <is>
          <t>eng</t>
        </is>
      </c>
      <c r="V114" s="2" t="inlineStr">
        <is>
          <t>drupal</t>
        </is>
      </c>
      <c r="W114" s="2" t="inlineStr">
        <is>
          <t>130</t>
        </is>
      </c>
      <c r="X114" s="2" t="inlineStr">
        <is>
          <t>1</t>
        </is>
      </c>
      <c r="Y114" s="2" t="inlineStr">
        <is>
          <t>yes</t>
        </is>
      </c>
      <c r="Z114" s="2" t="inlineStr"/>
      <c r="AA114" s="2" t="inlineStr"/>
      <c r="AB114" s="2" t="inlineStr">
        <is>
          <t>legacy_drupal_historical</t>
        </is>
      </c>
      <c r="AC114" s="2" t="inlineStr"/>
    </row>
    <row r="115">
      <c r="A115" s="2" t="inlineStr">
        <is>
          <t>drupal-133</t>
        </is>
      </c>
      <c r="B115" s="2" t="inlineStr">
        <is>
          <t>2015</t>
        </is>
      </c>
      <c r="C115" s="2" t="inlineStr">
        <is>
          <t>July</t>
        </is>
      </c>
      <c r="D115" s="2" t="inlineStr">
        <is>
          <t>NeQuick Galileo version model: Assessment of a proposed version in operational scenario</t>
        </is>
      </c>
      <c r="E115" s="2" t="inlineStr">
        <is>
          <t>Salvatore Gaglione; Antonio Angrisano; Ciro Gioia; Anna Innac; Salvatore Troisi</t>
        </is>
      </c>
      <c r="F115" s="2" t="inlineStr">
        <is>
          <t>Salvatore Gaglione; Salvatore Troisi</t>
        </is>
      </c>
      <c r="G115" s="2" t="inlineStr">
        <is>
          <t>Conference Paper</t>
        </is>
      </c>
      <c r="H115" s="2" t="inlineStr">
        <is>
          <t>Geoscience and Remote Sensing Symposium (IGARSS), 2015 IEEE International</t>
        </is>
      </c>
      <c r="I115" s="2" t="inlineStr"/>
      <c r="J115" s="2" t="inlineStr"/>
      <c r="K115" s="2" t="inlineStr"/>
      <c r="L115" s="2" t="inlineStr"/>
      <c r="M115" s="2" t="inlineStr"/>
      <c r="N115" s="2" t="inlineStr"/>
      <c r="O115" s="2" t="inlineStr">
        <is>
          <t>10.1109/IGARSS.2015.7326603</t>
        </is>
      </c>
      <c r="P115" s="2" t="inlineStr">
        <is>
          <t>10.1109/IGARSS.2015.7326603</t>
        </is>
      </c>
      <c r="Q115" s="2" t="inlineStr"/>
      <c r="R115" s="2" t="inlineStr"/>
      <c r="S115" s="2" t="inlineStr"/>
      <c r="T115" s="2" t="inlineStr"/>
      <c r="U115" s="2" t="inlineStr">
        <is>
          <t>eng</t>
        </is>
      </c>
      <c r="V115" s="2" t="inlineStr">
        <is>
          <t>drupal</t>
        </is>
      </c>
      <c r="W115" s="2" t="inlineStr">
        <is>
          <t>133</t>
        </is>
      </c>
      <c r="X115" s="2" t="inlineStr">
        <is>
          <t>1</t>
        </is>
      </c>
      <c r="Y115" s="2" t="inlineStr">
        <is>
          <t>yes</t>
        </is>
      </c>
      <c r="Z115" s="2" t="inlineStr"/>
      <c r="AA115" s="2" t="inlineStr"/>
      <c r="AB115" s="2" t="inlineStr">
        <is>
          <t>legacy_drupal_historical</t>
        </is>
      </c>
      <c r="AC115" s="2" t="inlineStr"/>
    </row>
    <row r="116">
      <c r="A116" s="2" t="inlineStr">
        <is>
          <t>drupal-134</t>
        </is>
      </c>
      <c r="B116" s="2" t="inlineStr">
        <is>
          <t>2015</t>
        </is>
      </c>
      <c r="C116" s="2" t="inlineStr">
        <is>
          <t>July</t>
        </is>
      </c>
      <c r="D116" s="2" t="inlineStr">
        <is>
          <t>The first Galileo FOC satellites: From useless to essential</t>
        </is>
      </c>
      <c r="E116" s="2" t="inlineStr">
        <is>
          <t>Salvatore Gaglione; Antonio Angrisano; Gaetano Castaldo; Pierluigi Freda; Ciro Gioia; Anna Innac; Salvatore Troisi; Giuseppe Del Core</t>
        </is>
      </c>
      <c r="F116" s="2" t="inlineStr">
        <is>
          <t>Salvatore Gaglione; Salvatore Troisi</t>
        </is>
      </c>
      <c r="G116" s="2" t="inlineStr">
        <is>
          <t>Conference Paper</t>
        </is>
      </c>
      <c r="H116" s="2" t="inlineStr">
        <is>
          <t>Geoscience and Remote Sensing Symposium (IGARSS), 2015 IEEE International</t>
        </is>
      </c>
      <c r="I116" s="2" t="inlineStr"/>
      <c r="J116" s="2" t="inlineStr"/>
      <c r="K116" s="2" t="inlineStr"/>
      <c r="L116" s="2" t="inlineStr"/>
      <c r="M116" s="2" t="inlineStr"/>
      <c r="N116" s="2" t="inlineStr"/>
      <c r="O116" s="2" t="inlineStr">
        <is>
          <t>10.1109/IGARSS.2015.7326618</t>
        </is>
      </c>
      <c r="P116" s="2" t="inlineStr">
        <is>
          <t>10.1109/IGARSS.2015.7326618</t>
        </is>
      </c>
      <c r="Q116" s="2" t="inlineStr"/>
      <c r="R116" s="2" t="inlineStr"/>
      <c r="S116" s="2" t="inlineStr"/>
      <c r="T116" s="2" t="inlineStr"/>
      <c r="U116" s="2" t="inlineStr">
        <is>
          <t>eng</t>
        </is>
      </c>
      <c r="V116" s="2" t="inlineStr">
        <is>
          <t>drupal</t>
        </is>
      </c>
      <c r="W116" s="2" t="inlineStr">
        <is>
          <t>134</t>
        </is>
      </c>
      <c r="X116" s="2" t="inlineStr">
        <is>
          <t>1</t>
        </is>
      </c>
      <c r="Y116" s="2" t="inlineStr">
        <is>
          <t>yes</t>
        </is>
      </c>
      <c r="Z116" s="2" t="inlineStr"/>
      <c r="AA116" s="2" t="inlineStr"/>
      <c r="AB116" s="2" t="inlineStr">
        <is>
          <t>legacy_drupal_historical</t>
        </is>
      </c>
      <c r="AC116" s="2" t="inlineStr"/>
    </row>
    <row r="117">
      <c r="A117" s="2" t="inlineStr">
        <is>
          <t>drupal-125</t>
        </is>
      </c>
      <c r="B117" s="2" t="inlineStr">
        <is>
          <t>2015</t>
        </is>
      </c>
      <c r="C117" s="2" t="inlineStr"/>
      <c r="D117" s="2" t="inlineStr">
        <is>
          <t>Time-differenced carrier phases technique for precise GNSS velocity estimation</t>
        </is>
      </c>
      <c r="E117" s="2" t="inlineStr">
        <is>
          <t>Pierluigi Freda; Antonio Angrisano; Salvatore Gaglione; Salvatore Troisi</t>
        </is>
      </c>
      <c r="F117" s="2" t="inlineStr">
        <is>
          <t>Salvatore Gaglione; Salvatore Troisi</t>
        </is>
      </c>
      <c r="G117" s="2" t="inlineStr">
        <is>
          <t>Journal Article</t>
        </is>
      </c>
      <c r="H117" s="2" t="inlineStr">
        <is>
          <t>GPS Solutions</t>
        </is>
      </c>
      <c r="I117" s="2" t="inlineStr"/>
      <c r="J117" s="2" t="inlineStr"/>
      <c r="K117" s="2" t="inlineStr"/>
      <c r="L117" s="2" t="inlineStr">
        <is>
          <t>19</t>
        </is>
      </c>
      <c r="M117" s="2" t="inlineStr">
        <is>
          <t>2</t>
        </is>
      </c>
      <c r="N117" s="2" t="inlineStr">
        <is>
          <t>341</t>
        </is>
      </c>
      <c r="O117" s="2" t="inlineStr">
        <is>
          <t>10.1007/s10291-014-0425-1</t>
        </is>
      </c>
      <c r="P117" s="2" t="inlineStr">
        <is>
          <t>10.1007/s10291-014-0425-1</t>
        </is>
      </c>
      <c r="Q117" s="2" t="inlineStr">
        <is>
          <t>1080-5370</t>
        </is>
      </c>
      <c r="R117" s="2" t="inlineStr"/>
      <c r="S117" s="2" t="inlineStr">
        <is>
          <t>http://dx.doi.org/10.1007/s10291-014-0425-1</t>
        </is>
      </c>
      <c r="T117" s="2" t="inlineStr">
        <is>
          <t>Classically, a stand-alone GNSS receiver estimates its velocity by forming the approximate derivative of consecutive user positions or more often by using the Doppler observable. The first method is very inaccurate, while the second one allows estimation of the order of some cm/s. The time-differenced carrier phase (TDCP) technique, which consists in differencing successive carrier phases, enables accuracies at the mm/s level. A study on the existing TDCP velocity estimation algorithms has revealed that the use of different broadcast ephemeris sets to calculate the satellite positions and clock offsets produces a discontinuity in the TDCP measurements that affects the velocity estimation. We propose a method to overcome this limitation based on the use of the same set of ephemeris to calculate the satellite positions and clock offsets at consecutive epochs. We describe in detail the TDCP algorithm used, and the complete implementation in MATLAB is included.</t>
        </is>
      </c>
      <c r="U117" s="2" t="inlineStr">
        <is>
          <t>eng</t>
        </is>
      </c>
      <c r="V117" s="2" t="inlineStr">
        <is>
          <t>drupal</t>
        </is>
      </c>
      <c r="W117" s="2" t="inlineStr">
        <is>
          <t>125</t>
        </is>
      </c>
      <c r="X117" s="2" t="inlineStr">
        <is>
          <t>1</t>
        </is>
      </c>
      <c r="Y117" s="2" t="inlineStr">
        <is>
          <t>yes</t>
        </is>
      </c>
      <c r="Z117" s="2" t="inlineStr"/>
      <c r="AA117" s="2" t="inlineStr"/>
      <c r="AB117" s="2" t="inlineStr">
        <is>
          <t>legacy_drupal_historical</t>
        </is>
      </c>
      <c r="AC117" s="2" t="inlineStr"/>
    </row>
    <row r="118">
      <c r="A118" s="2" t="inlineStr">
        <is>
          <t>drupal-114</t>
        </is>
      </c>
      <c r="B118" s="2" t="inlineStr">
        <is>
          <t>2014</t>
        </is>
      </c>
      <c r="C118" s="2" t="inlineStr"/>
      <c r="D118" s="2" t="inlineStr">
        <is>
          <t>Algoritmi GNSS per la Stima della Velocità</t>
        </is>
      </c>
      <c r="E118" s="2" t="inlineStr">
        <is>
          <t>Pierluigi Freda</t>
        </is>
      </c>
      <c r="F118" s="2" t="inlineStr"/>
      <c r="G118" s="2" t="inlineStr">
        <is>
          <t>Thesis</t>
        </is>
      </c>
      <c r="H118" s="2" t="inlineStr"/>
      <c r="I118" s="2" t="inlineStr"/>
      <c r="J118" s="2" t="inlineStr"/>
      <c r="K118" s="2" t="inlineStr"/>
      <c r="L118" s="2" t="inlineStr">
        <is>
          <t>MSc</t>
        </is>
      </c>
      <c r="M118" s="2" t="inlineStr"/>
      <c r="N118" s="2" t="inlineStr"/>
      <c r="O118" s="2" t="inlineStr"/>
      <c r="P118" s="2" t="inlineStr"/>
      <c r="Q118" s="2" t="inlineStr"/>
      <c r="R118" s="2" t="inlineStr"/>
      <c r="S118" s="2" t="inlineStr"/>
      <c r="T118" s="2" t="inlineStr"/>
      <c r="U118" s="2" t="inlineStr">
        <is>
          <t>eng</t>
        </is>
      </c>
      <c r="V118" s="2" t="inlineStr">
        <is>
          <t>drupal</t>
        </is>
      </c>
      <c r="W118" s="2" t="inlineStr">
        <is>
          <t>114</t>
        </is>
      </c>
      <c r="X118" s="2" t="inlineStr">
        <is>
          <t>1</t>
        </is>
      </c>
      <c r="Y118" s="2" t="inlineStr">
        <is>
          <t>yes</t>
        </is>
      </c>
      <c r="Z118" s="2" t="inlineStr">
        <is>
          <t>missing_doi</t>
        </is>
      </c>
      <c r="AA118" s="2" t="inlineStr"/>
      <c r="AB118" s="2" t="inlineStr">
        <is>
          <t>legacy_drupal_historical</t>
        </is>
      </c>
      <c r="AC118" s="2" t="inlineStr"/>
    </row>
    <row r="119">
      <c r="A119" s="2" t="inlineStr">
        <is>
          <t>drupal-111</t>
        </is>
      </c>
      <c r="B119" s="2" t="inlineStr">
        <is>
          <t>2014</t>
        </is>
      </c>
      <c r="C119" s="2" t="inlineStr"/>
      <c r="D119" s="2" t="inlineStr">
        <is>
          <t>GNSS Navigation in difficult environments: Hybridization and Reliability</t>
        </is>
      </c>
      <c r="E119" s="2" t="inlineStr">
        <is>
          <t>Ciro Gioia</t>
        </is>
      </c>
      <c r="F119" s="2" t="inlineStr"/>
      <c r="G119" s="2" t="inlineStr">
        <is>
          <t>Thesis</t>
        </is>
      </c>
      <c r="H119" s="2" t="inlineStr"/>
      <c r="I119" s="2" t="inlineStr"/>
      <c r="J119" s="2" t="inlineStr"/>
      <c r="K119" s="2" t="inlineStr"/>
      <c r="L119" s="2" t="inlineStr">
        <is>
          <t>PhD</t>
        </is>
      </c>
      <c r="M119" s="2" t="inlineStr"/>
      <c r="N119" s="2" t="inlineStr"/>
      <c r="O119" s="2" t="inlineStr"/>
      <c r="P119" s="2" t="inlineStr"/>
      <c r="Q119" s="2" t="inlineStr"/>
      <c r="R119" s="2" t="inlineStr"/>
      <c r="S119" s="2" t="inlineStr"/>
      <c r="T119" s="2" t="inlineStr"/>
      <c r="U119" s="2" t="inlineStr">
        <is>
          <t>eng</t>
        </is>
      </c>
      <c r="V119" s="2" t="inlineStr">
        <is>
          <t>drupal</t>
        </is>
      </c>
      <c r="W119" s="2" t="inlineStr">
        <is>
          <t>111</t>
        </is>
      </c>
      <c r="X119" s="2" t="inlineStr">
        <is>
          <t>1</t>
        </is>
      </c>
      <c r="Y119" s="2" t="inlineStr">
        <is>
          <t>yes</t>
        </is>
      </c>
      <c r="Z119" s="2" t="inlineStr">
        <is>
          <t>missing_doi</t>
        </is>
      </c>
      <c r="AA119" s="2" t="inlineStr"/>
      <c r="AB119" s="2" t="inlineStr">
        <is>
          <t>legacy_drupal_historical</t>
        </is>
      </c>
      <c r="AC119" s="2" t="inlineStr"/>
    </row>
    <row r="120">
      <c r="A120" s="2" t="inlineStr">
        <is>
          <t>drupal-126</t>
        </is>
      </c>
      <c r="B120" s="2" t="inlineStr">
        <is>
          <t>2014</t>
        </is>
      </c>
      <c r="C120" s="2" t="inlineStr"/>
      <c r="D120" s="2" t="inlineStr">
        <is>
          <t>GNSS Navigation In Difficult Environments: Hybridization And Reliability</t>
        </is>
      </c>
      <c r="E120" s="2" t="inlineStr">
        <is>
          <t>Ciro Gioia</t>
        </is>
      </c>
      <c r="F120" s="2" t="inlineStr"/>
      <c r="G120" s="2" t="inlineStr">
        <is>
          <t>Journal Article</t>
        </is>
      </c>
      <c r="H120" s="2" t="inlineStr">
        <is>
          <t>Ricerche di Geomatica 2014</t>
        </is>
      </c>
      <c r="I120" s="2" t="inlineStr"/>
      <c r="J120" s="2" t="inlineStr"/>
      <c r="K120" s="2" t="inlineStr"/>
      <c r="L120" s="2" t="inlineStr"/>
      <c r="M120" s="2" t="inlineStr"/>
      <c r="N120" s="2" t="inlineStr"/>
      <c r="O120" s="2" t="inlineStr"/>
      <c r="P120" s="2" t="inlineStr"/>
      <c r="Q120" s="2" t="inlineStr"/>
      <c r="R120" s="2" t="inlineStr">
        <is>
          <t>978-88-905917-5-4</t>
        </is>
      </c>
      <c r="S120" s="2" t="inlineStr"/>
      <c r="T120" s="2" t="inlineStr">
        <is>
          <t>Satellite navigation is critical in signal-degraded environments where GNSS signals are strongly corrupted. In these cases the use of a single GNSS does not guarantee an accurate and continuous positioning. A possible approach to solve this problem is the use of multi-constellation that provides additional measurements improving the redundancy of the system. Measurements in urban scenario are strongly affected by gross errors, degrading navigation solution; hence a quality check on redundant measurements, defined as RAIM is necessary. The classical RAIM algorithms, developed for aviation, need to be redesigned for urban applications, considering frequent multiple blunders. The FDE schemes analyzed in this research are the Subset, the Forward-Backward and the Danish; they are obtained by combining different basic statistical tests. Specifically a so-called Global Test is adopted to verify the measurement self-consistency. A Local Test is used to identify and reject a blunder into a data set declared not-consistent. The considered FDE methods are modified to optimize their behavior in urban scenario. Specifically a preliminary check based on the WARP parameter, generalization of the classical ARP, is implemented to screen out bad geometries. Moreover a large blunder could cause multiple test failures, inducing incorrect measurements exclusions; hence a separability index is implemented to avoid the incorrect exclusion of blunder-free measurements. Development and testing RAIM algorithms for multi-constellation in multiple blunder case is a main target of this work. For indoor navigation pseudolites are adopted and different positioning algorithms are developed. Indoor positioning has been demonstrated with meter level of accuracy.</t>
        </is>
      </c>
      <c r="U120" s="2" t="inlineStr">
        <is>
          <t>eng</t>
        </is>
      </c>
      <c r="V120" s="2" t="inlineStr">
        <is>
          <t>drupal</t>
        </is>
      </c>
      <c r="W120" s="2" t="inlineStr">
        <is>
          <t>126</t>
        </is>
      </c>
      <c r="X120" s="2" t="inlineStr">
        <is>
          <t>1</t>
        </is>
      </c>
      <c r="Y120" s="2" t="inlineStr">
        <is>
          <t>yes</t>
        </is>
      </c>
      <c r="Z120" s="2" t="inlineStr">
        <is>
          <t>missing_doi</t>
        </is>
      </c>
      <c r="AA120" s="2" t="inlineStr"/>
      <c r="AB120" s="2" t="inlineStr">
        <is>
          <t>legacy_drupal_historical</t>
        </is>
      </c>
      <c r="AC120" s="2" t="inlineStr"/>
    </row>
    <row r="121">
      <c r="A121" s="2" t="inlineStr">
        <is>
          <t>drupal-124</t>
        </is>
      </c>
      <c r="B121" s="2" t="inlineStr">
        <is>
          <t>2014</t>
        </is>
      </c>
      <c r="C121" s="2" t="inlineStr"/>
      <c r="D121" s="2" t="inlineStr">
        <is>
          <t>NeQuick model performance analysis for GNSS mass market receivers positioning</t>
        </is>
      </c>
      <c r="E121" s="2" t="inlineStr">
        <is>
          <t>Salvatore Gaglione</t>
        </is>
      </c>
      <c r="F121" s="2" t="inlineStr">
        <is>
          <t>Salvatore Gaglione</t>
        </is>
      </c>
      <c r="G121" s="2" t="inlineStr">
        <is>
          <t>Conference Paper</t>
        </is>
      </c>
      <c r="H121" s="2" t="inlineStr">
        <is>
          <t>United Nations / ICTP Workshop on the Use of Global Navigation Satellite Systems (GNSS) for Scientific Applications</t>
        </is>
      </c>
      <c r="I121" s="2" t="inlineStr"/>
      <c r="J121" s="2" t="inlineStr"/>
      <c r="K121" s="2" t="inlineStr">
        <is>
          <t>International Centre of Theoretical Physics - Trisete (Italy)</t>
        </is>
      </c>
      <c r="L121" s="2" t="inlineStr"/>
      <c r="M121" s="2" t="inlineStr"/>
      <c r="N121" s="2" t="inlineStr"/>
      <c r="O121" s="2" t="inlineStr"/>
      <c r="P121" s="2" t="inlineStr"/>
      <c r="Q121" s="2" t="inlineStr"/>
      <c r="R121" s="2" t="inlineStr"/>
      <c r="S121" s="2" t="inlineStr"/>
      <c r="T121" s="2" t="inlineStr"/>
      <c r="U121" s="2" t="inlineStr">
        <is>
          <t>eng</t>
        </is>
      </c>
      <c r="V121" s="2" t="inlineStr">
        <is>
          <t>drupal</t>
        </is>
      </c>
      <c r="W121" s="2" t="inlineStr">
        <is>
          <t>124</t>
        </is>
      </c>
      <c r="X121" s="2" t="inlineStr">
        <is>
          <t>1</t>
        </is>
      </c>
      <c r="Y121" s="2" t="inlineStr">
        <is>
          <t>yes</t>
        </is>
      </c>
      <c r="Z121" s="2" t="inlineStr">
        <is>
          <t>missing_doi</t>
        </is>
      </c>
      <c r="AA121" s="2" t="inlineStr"/>
      <c r="AB121" s="2" t="inlineStr">
        <is>
          <t>legacy_drupal_historical</t>
        </is>
      </c>
      <c r="AC121" s="2" t="inlineStr"/>
    </row>
    <row r="122">
      <c r="A122" s="2" t="inlineStr">
        <is>
          <t>drupal-119</t>
        </is>
      </c>
      <c r="B122" s="2" t="inlineStr">
        <is>
          <t>2014</t>
        </is>
      </c>
      <c r="C122" s="2" t="inlineStr"/>
      <c r="D122" s="2" t="inlineStr">
        <is>
          <t>P-RANSAC: An Integrity Monitoring Approach for GNSS Signal Degraded Scenario</t>
        </is>
      </c>
      <c r="E122" s="2" t="inlineStr">
        <is>
          <t>Gaetano Castaldo; Antonio Angrisano; Salvatore Gaglione; Salvatore Troisi</t>
        </is>
      </c>
      <c r="F122" s="2" t="inlineStr">
        <is>
          <t>Salvatore Gaglione; Salvatore Troisi</t>
        </is>
      </c>
      <c r="G122" s="2" t="inlineStr">
        <is>
          <t>Journal Article</t>
        </is>
      </c>
      <c r="H122" s="2" t="inlineStr">
        <is>
          <t>International Journal of Navigation and Observation</t>
        </is>
      </c>
      <c r="I122" s="2" t="inlineStr"/>
      <c r="J122" s="2" t="inlineStr"/>
      <c r="K122" s="2" t="inlineStr"/>
      <c r="L122" s="2" t="inlineStr">
        <is>
          <t>2014</t>
        </is>
      </c>
      <c r="M122" s="2" t="inlineStr"/>
      <c r="N122" s="2" t="inlineStr"/>
      <c r="O122" s="2" t="inlineStr"/>
      <c r="P122" s="2" t="inlineStr"/>
      <c r="Q122" s="2" t="inlineStr"/>
      <c r="R122" s="2" t="inlineStr"/>
      <c r="S122" s="2" t="inlineStr"/>
      <c r="T122" s="2" t="inlineStr"/>
      <c r="U122" s="2" t="inlineStr">
        <is>
          <t>eng</t>
        </is>
      </c>
      <c r="V122" s="2" t="inlineStr">
        <is>
          <t>drupal</t>
        </is>
      </c>
      <c r="W122" s="2" t="inlineStr">
        <is>
          <t>119</t>
        </is>
      </c>
      <c r="X122" s="2" t="inlineStr">
        <is>
          <t>1</t>
        </is>
      </c>
      <c r="Y122" s="2" t="inlineStr">
        <is>
          <t>yes</t>
        </is>
      </c>
      <c r="Z122" s="2" t="inlineStr">
        <is>
          <t>missing_doi</t>
        </is>
      </c>
      <c r="AA122" s="2" t="inlineStr"/>
      <c r="AB122" s="2" t="inlineStr">
        <is>
          <t>legacy_drupal_historical</t>
        </is>
      </c>
      <c r="AC122" s="2" t="inlineStr"/>
    </row>
    <row r="123">
      <c r="A123" s="2" t="inlineStr">
        <is>
          <t>drupal-115</t>
        </is>
      </c>
      <c r="B123" s="2" t="inlineStr">
        <is>
          <t>2014</t>
        </is>
      </c>
      <c r="C123" s="2" t="inlineStr"/>
      <c r="D123" s="2" t="inlineStr">
        <is>
          <t>Real-Time Receiver Clock Jump Detection for Code Absolute Positioning with Kalman Filter</t>
        </is>
      </c>
      <c r="E123" s="2" t="inlineStr">
        <is>
          <t>Antonio Angrisano; Salvatore Gaglione; Salvatore Troisi</t>
        </is>
      </c>
      <c r="F123" s="2" t="inlineStr">
        <is>
          <t>Salvatore Gaglione; Salvatore Troisi</t>
        </is>
      </c>
      <c r="G123" s="2" t="inlineStr">
        <is>
          <t>Journal Article</t>
        </is>
      </c>
      <c r="H123" s="2" t="inlineStr">
        <is>
          <t>Wireless Personal Communications</t>
        </is>
      </c>
      <c r="I123" s="2" t="inlineStr"/>
      <c r="J123" s="2" t="inlineStr"/>
      <c r="K123" s="2" t="inlineStr"/>
      <c r="L123" s="2" t="inlineStr"/>
      <c r="M123" s="2" t="inlineStr"/>
      <c r="N123" s="2" t="inlineStr">
        <is>
          <t>1-11</t>
        </is>
      </c>
      <c r="O123" s="2" t="inlineStr">
        <is>
          <t>10.1007/s11277-014-1849-1</t>
        </is>
      </c>
      <c r="P123" s="2" t="inlineStr">
        <is>
          <t>10.1007/s11277-014-1849-1</t>
        </is>
      </c>
      <c r="Q123" s="2" t="inlineStr">
        <is>
          <t>0929-6212</t>
        </is>
      </c>
      <c r="R123" s="2" t="inlineStr"/>
      <c r="S123" s="2" t="inlineStr">
        <is>
          <t>http://dx.doi.org/10.1007/s11277-014-1849-1</t>
        </is>
      </c>
      <c r="T123" s="2" t="inlineStr"/>
      <c r="U123" s="2" t="inlineStr">
        <is>
          <t>eng</t>
        </is>
      </c>
      <c r="V123" s="2" t="inlineStr">
        <is>
          <t>drupal</t>
        </is>
      </c>
      <c r="W123" s="2" t="inlineStr">
        <is>
          <t>115</t>
        </is>
      </c>
      <c r="X123" s="2" t="inlineStr">
        <is>
          <t>1</t>
        </is>
      </c>
      <c r="Y123" s="2" t="inlineStr">
        <is>
          <t>yes</t>
        </is>
      </c>
      <c r="Z123" s="2" t="inlineStr"/>
      <c r="AA123" s="2" t="inlineStr"/>
      <c r="AB123" s="2" t="inlineStr">
        <is>
          <t>legacy_drupal_historical</t>
        </is>
      </c>
      <c r="AC123" s="2" t="inlineStr"/>
    </row>
    <row r="124">
      <c r="A124" s="2" t="inlineStr">
        <is>
          <t>drupal-120</t>
        </is>
      </c>
      <c r="B124" s="2" t="inlineStr">
        <is>
          <t>2014</t>
        </is>
      </c>
      <c r="C124" s="2" t="inlineStr"/>
      <c r="D124" s="2" t="inlineStr">
        <is>
          <t>Roll and Pitch Estimation Using Visual Horizon Recognition</t>
        </is>
      </c>
      <c r="E124" s="2" t="inlineStr">
        <is>
          <t>Silvio Del Pizzo; Salvatore Troisi; Antonio Angrisano; Salvatore Gaglione</t>
        </is>
      </c>
      <c r="F124" s="2" t="inlineStr">
        <is>
          <t>Silvio Del Pizzo; Salvatore Troisi; Salvatore Gaglione</t>
        </is>
      </c>
      <c r="G124" s="2" t="inlineStr">
        <is>
          <t>Conference Paper</t>
        </is>
      </c>
      <c r="H124" s="2" t="inlineStr">
        <is>
          <t>1st International Conference on Augmented and Virtual Reality - Salento AVR 2014</t>
        </is>
      </c>
      <c r="I124" s="2" t="inlineStr"/>
      <c r="J124" s="2" t="inlineStr"/>
      <c r="K124" s="2" t="inlineStr">
        <is>
          <t>Lecce, Italy</t>
        </is>
      </c>
      <c r="L124" s="2" t="inlineStr"/>
      <c r="M124" s="2" t="inlineStr"/>
      <c r="N124" s="2" t="inlineStr"/>
      <c r="O124" s="2" t="inlineStr"/>
      <c r="P124" s="2" t="inlineStr"/>
      <c r="Q124" s="2" t="inlineStr"/>
      <c r="R124" s="2" t="inlineStr"/>
      <c r="S124" s="2" t="inlineStr"/>
      <c r="T124" s="2" t="inlineStr">
        <is>
          <t>In guidance and automated control system, especially for unmanned vehicle, attitude determination is an important element. Generally this parameter is provided by sensors like INS (Inertial Navigation Systems), but it can be also estimated with a single camera that “looks” the horizon. This work presents the project of an embedded solution that uses visual information, captured by a consumer camera, to estimate the vehicle attitude. The system is designed to be mounted on board of a ship or a sail boat, in order to record the roll and pitch angles for safety purpose or to be used for real time application (e.g. during a regatta to overlap the values of the boat attitude with video output coming from a camera mounted on the masthead framing the race field).</t>
        </is>
      </c>
      <c r="U124" s="2" t="inlineStr">
        <is>
          <t>eng</t>
        </is>
      </c>
      <c r="V124" s="2" t="inlineStr">
        <is>
          <t>drupal</t>
        </is>
      </c>
      <c r="W124" s="2" t="inlineStr">
        <is>
          <t>120</t>
        </is>
      </c>
      <c r="X124" s="2" t="inlineStr">
        <is>
          <t>1</t>
        </is>
      </c>
      <c r="Y124" s="2" t="inlineStr">
        <is>
          <t>yes</t>
        </is>
      </c>
      <c r="Z124" s="2" t="inlineStr">
        <is>
          <t>missing_doi</t>
        </is>
      </c>
      <c r="AA124" s="2" t="inlineStr"/>
      <c r="AB124" s="2" t="inlineStr">
        <is>
          <t>legacy_drupal_historical</t>
        </is>
      </c>
      <c r="AC124" s="2" t="inlineStr"/>
    </row>
    <row r="125">
      <c r="A125" s="2" t="inlineStr">
        <is>
          <t>drupal-109</t>
        </is>
      </c>
      <c r="B125" s="2" t="inlineStr">
        <is>
          <t>2014</t>
        </is>
      </c>
      <c r="C125" s="2" t="inlineStr"/>
      <c r="D125" s="2" t="inlineStr">
        <is>
          <t>Tecnica RANSAC/RANCO per il posizionamento in ambiente urbano</t>
        </is>
      </c>
      <c r="E125" s="2" t="inlineStr">
        <is>
          <t>Gaetano Castaldo</t>
        </is>
      </c>
      <c r="F125" s="2" t="inlineStr"/>
      <c r="G125" s="2" t="inlineStr">
        <is>
          <t>Thesis</t>
        </is>
      </c>
      <c r="H125" s="2" t="inlineStr"/>
      <c r="I125" s="2" t="inlineStr"/>
      <c r="J125" s="2" t="inlineStr">
        <is>
          <t>Parthenope</t>
        </is>
      </c>
      <c r="K125" s="2" t="inlineStr"/>
      <c r="L125" s="2" t="inlineStr"/>
      <c r="M125" s="2" t="inlineStr"/>
      <c r="N125" s="2" t="inlineStr"/>
      <c r="O125" s="2" t="inlineStr"/>
      <c r="P125" s="2" t="inlineStr"/>
      <c r="Q125" s="2" t="inlineStr"/>
      <c r="R125" s="2" t="inlineStr"/>
      <c r="S125" s="2" t="inlineStr"/>
      <c r="T125" s="2" t="inlineStr"/>
      <c r="U125" s="2" t="inlineStr">
        <is>
          <t>eng</t>
        </is>
      </c>
      <c r="V125" s="2" t="inlineStr">
        <is>
          <t>drupal</t>
        </is>
      </c>
      <c r="W125" s="2" t="inlineStr">
        <is>
          <t>109</t>
        </is>
      </c>
      <c r="X125" s="2" t="inlineStr">
        <is>
          <t>1</t>
        </is>
      </c>
      <c r="Y125" s="2" t="inlineStr">
        <is>
          <t>yes</t>
        </is>
      </c>
      <c r="Z125" s="2" t="inlineStr">
        <is>
          <t>missing_doi</t>
        </is>
      </c>
      <c r="AA125" s="2" t="inlineStr"/>
      <c r="AB125" s="2" t="inlineStr">
        <is>
          <t>legacy_drupal_historical</t>
        </is>
      </c>
      <c r="AC125" s="2" t="inlineStr"/>
    </row>
    <row r="126">
      <c r="A126" s="2" t="inlineStr">
        <is>
          <t>drupal-122</t>
        </is>
      </c>
      <c r="B126" s="2" t="inlineStr">
        <is>
          <t>2014</t>
        </is>
      </c>
      <c r="C126" s="2" t="inlineStr">
        <is>
          <t>June</t>
        </is>
      </c>
      <c r="D126" s="2" t="inlineStr">
        <is>
          <t>Validity period of NeQuick (Galileo version) corrections: Trade-off between accuracy and computational load</t>
        </is>
      </c>
      <c r="E126" s="2" t="inlineStr">
        <is>
          <t>Antonio Angrisano; Salvatore Gaglione; Ciro Gioia; Salvatore Troisi</t>
        </is>
      </c>
      <c r="F126" s="2" t="inlineStr">
        <is>
          <t>Salvatore Gaglione; Salvatore Troisi</t>
        </is>
      </c>
      <c r="G126" s="2" t="inlineStr">
        <is>
          <t>Conference Paper</t>
        </is>
      </c>
      <c r="H126" s="2" t="inlineStr">
        <is>
          <t>Localization and GNSS (ICL-GNSS), 2014 International Conference on</t>
        </is>
      </c>
      <c r="I126" s="2" t="inlineStr"/>
      <c r="J126" s="2" t="inlineStr"/>
      <c r="K126" s="2" t="inlineStr"/>
      <c r="L126" s="2" t="inlineStr"/>
      <c r="M126" s="2" t="inlineStr"/>
      <c r="N126" s="2" t="inlineStr"/>
      <c r="O126" s="2" t="inlineStr">
        <is>
          <t>10.1109/ICL-GNSS.2014.6934183</t>
        </is>
      </c>
      <c r="P126" s="2" t="inlineStr">
        <is>
          <t>10.1109/ICL-GNSS.2014.6934183</t>
        </is>
      </c>
      <c r="Q126" s="2" t="inlineStr"/>
      <c r="R126" s="2" t="inlineStr"/>
      <c r="S126" s="2" t="inlineStr"/>
      <c r="T126" s="2" t="inlineStr"/>
      <c r="U126" s="2" t="inlineStr">
        <is>
          <t>eng</t>
        </is>
      </c>
      <c r="V126" s="2" t="inlineStr">
        <is>
          <t>drupal</t>
        </is>
      </c>
      <c r="W126" s="2" t="inlineStr">
        <is>
          <t>122</t>
        </is>
      </c>
      <c r="X126" s="2" t="inlineStr">
        <is>
          <t>1</t>
        </is>
      </c>
      <c r="Y126" s="2" t="inlineStr">
        <is>
          <t>yes</t>
        </is>
      </c>
      <c r="Z126" s="2" t="inlineStr"/>
      <c r="AA126" s="2" t="inlineStr"/>
      <c r="AB126" s="2" t="inlineStr">
        <is>
          <t>legacy_drupal_historical</t>
        </is>
      </c>
      <c r="AC126" s="2" t="inlineStr"/>
    </row>
    <row r="127">
      <c r="A127" s="2" t="inlineStr">
        <is>
          <t>drupal-107</t>
        </is>
      </c>
      <c r="B127" s="2" t="inlineStr">
        <is>
          <t>2013</t>
        </is>
      </c>
      <c r="C127" s="2" t="inlineStr"/>
      <c r="D127" s="2" t="inlineStr">
        <is>
          <t>Analisi dell’Accuratezza di Orbite Broadcast e Precise delle Costellazioni GPS e GLONASS</t>
        </is>
      </c>
      <c r="E127" s="2" t="inlineStr">
        <is>
          <t>Aniello De Luca</t>
        </is>
      </c>
      <c r="F127" s="2" t="inlineStr"/>
      <c r="G127" s="2" t="inlineStr">
        <is>
          <t>Thesis</t>
        </is>
      </c>
      <c r="H127" s="2" t="inlineStr"/>
      <c r="I127" s="2" t="inlineStr"/>
      <c r="J127" s="2" t="inlineStr">
        <is>
          <t>Parthenope</t>
        </is>
      </c>
      <c r="K127" s="2" t="inlineStr"/>
      <c r="L127" s="2" t="inlineStr"/>
      <c r="M127" s="2" t="inlineStr"/>
      <c r="N127" s="2" t="inlineStr"/>
      <c r="O127" s="2" t="inlineStr"/>
      <c r="P127" s="2" t="inlineStr"/>
      <c r="Q127" s="2" t="inlineStr"/>
      <c r="R127" s="2" t="inlineStr"/>
      <c r="S127" s="2" t="inlineStr"/>
      <c r="T127" s="2" t="inlineStr"/>
      <c r="U127" s="2" t="inlineStr">
        <is>
          <t>eng</t>
        </is>
      </c>
      <c r="V127" s="2" t="inlineStr">
        <is>
          <t>drupal</t>
        </is>
      </c>
      <c r="W127" s="2" t="inlineStr">
        <is>
          <t>107</t>
        </is>
      </c>
      <c r="X127" s="2" t="inlineStr">
        <is>
          <t>1</t>
        </is>
      </c>
      <c r="Y127" s="2" t="inlineStr">
        <is>
          <t>yes</t>
        </is>
      </c>
      <c r="Z127" s="2" t="inlineStr">
        <is>
          <t>missing_doi</t>
        </is>
      </c>
      <c r="AA127" s="2" t="inlineStr"/>
      <c r="AB127" s="2" t="inlineStr">
        <is>
          <t>legacy_drupal_historical</t>
        </is>
      </c>
      <c r="AC127" s="2" t="inlineStr"/>
    </row>
    <row r="128">
      <c r="A128" s="2" t="inlineStr">
        <is>
          <t>drupal-98</t>
        </is>
      </c>
      <c r="B128" s="2" t="inlineStr">
        <is>
          <t>2013</t>
        </is>
      </c>
      <c r="C128" s="2" t="inlineStr">
        <is>
          <t>12/2013</t>
        </is>
      </c>
      <c r="D128" s="2" t="inlineStr">
        <is>
          <t>Assessment of NeQuick ionospheric model for Galileo single-frequency users</t>
        </is>
      </c>
      <c r="E128" s="2" t="inlineStr">
        <is>
          <t>Antonio Angrisano; Salvatore Gaglione; Ciro Gioia; Marco Massaro; Umberto Robustelli</t>
        </is>
      </c>
      <c r="F128" s="2" t="inlineStr">
        <is>
          <t>Salvatore Gaglione</t>
        </is>
      </c>
      <c r="G128" s="2" t="inlineStr">
        <is>
          <t>Journal Article</t>
        </is>
      </c>
      <c r="H128" s="2" t="inlineStr">
        <is>
          <t>Acta Geophysica</t>
        </is>
      </c>
      <c r="I128" s="2" t="inlineStr"/>
      <c r="J128" s="2" t="inlineStr"/>
      <c r="K128" s="2" t="inlineStr"/>
      <c r="L128" s="2" t="inlineStr">
        <is>
          <t>61</t>
        </is>
      </c>
      <c r="M128" s="2" t="inlineStr">
        <is>
          <t>6</t>
        </is>
      </c>
      <c r="N128" s="2" t="inlineStr">
        <is>
          <t>1457-1476</t>
        </is>
      </c>
      <c r="O128" s="2" t="inlineStr">
        <is>
          <t>10.2478/s11600-013-0116-2</t>
        </is>
      </c>
      <c r="P128" s="2" t="inlineStr">
        <is>
          <t>10.2478/s11600-013-0116-2</t>
        </is>
      </c>
      <c r="Q128" s="2" t="inlineStr">
        <is>
          <t>1895-6572</t>
        </is>
      </c>
      <c r="R128" s="2" t="inlineStr"/>
      <c r="S128" s="2" t="inlineStr">
        <is>
          <t>http://dx.doi.org/10.2478/s11600-013-0116-2</t>
        </is>
      </c>
      <c r="T128" s="2" t="inlineStr">
        <is>
          <t>In signal-degraded environments such as urban canyons and mountainous area, many GNSS signals are either blocked or strongly degraded by natural and artificial obstacles. In such scenarios standalone GPS is often unable to guarantee a continuous and accurate positioning due to lack (or the poor quality) of signals. The combination of different GNSSs could be a suitable approach to fill this gap, because the multi-constellation system guarantees an improved satellite availability compared to standalone GPS, thus providing enhanced accuracy, continuity and integrity of the positioning. The present GNSSs are GPS, GLONASS, Galileo and Beidou, but the latter two are still in the development phase. In this work GPS/GLONASS systems are combined for single point positioning and their performance are assessed for different configurations. Using GPS/GLONASS multi-constellation implies the addition of an additional unknown, i.e. the intersystem time scale offset, which requires a sacrifice of one measurement. Since the intersystem offset is quasi-constant over a short period, a pseudo-measurement can be introduced to compensate the sacrifice. The benefit after adding a pseudo-measurement has been demonstrated in a vehicular test.</t>
        </is>
      </c>
      <c r="U128" s="2" t="inlineStr">
        <is>
          <t>eng</t>
        </is>
      </c>
      <c r="V128" s="2" t="inlineStr">
        <is>
          <t>drupal</t>
        </is>
      </c>
      <c r="W128" s="2" t="inlineStr">
        <is>
          <t>98</t>
        </is>
      </c>
      <c r="X128" s="2" t="inlineStr">
        <is>
          <t>1</t>
        </is>
      </c>
      <c r="Y128" s="2" t="inlineStr">
        <is>
          <t>yes</t>
        </is>
      </c>
      <c r="Z128" s="2" t="inlineStr"/>
      <c r="AA128" s="2" t="inlineStr"/>
      <c r="AB128" s="2" t="inlineStr">
        <is>
          <t>legacy_drupal_historical</t>
        </is>
      </c>
      <c r="AC128" s="2" t="inlineStr"/>
    </row>
    <row r="129">
      <c r="A129" s="2" t="inlineStr">
        <is>
          <t>drupal-112</t>
        </is>
      </c>
      <c r="B129" s="2" t="inlineStr">
        <is>
          <t>2013</t>
        </is>
      </c>
      <c r="C129" s="2" t="inlineStr"/>
      <c r="D129" s="2" t="inlineStr">
        <is>
          <t>Benefit of the NeQuick Galileo Version in GNSS Single-Point Positioning</t>
        </is>
      </c>
      <c r="E129" s="2" t="inlineStr">
        <is>
          <t>Antonio Angrisano; Salvatore Gaglione; Ciro Gioia; Marco Massaro; Salvatore Troisi</t>
        </is>
      </c>
      <c r="F129" s="2" t="inlineStr">
        <is>
          <t>Salvatore Gaglione; Salvatore Troisi</t>
        </is>
      </c>
      <c r="G129" s="2" t="inlineStr">
        <is>
          <t>Journal Article</t>
        </is>
      </c>
      <c r="H129" s="2" t="inlineStr">
        <is>
          <t>International Journal of Navigation and Observation</t>
        </is>
      </c>
      <c r="I129" s="2" t="inlineStr"/>
      <c r="J129" s="2" t="inlineStr"/>
      <c r="K129" s="2" t="inlineStr"/>
      <c r="L129" s="2" t="inlineStr"/>
      <c r="M129" s="2" t="inlineStr"/>
      <c r="N129" s="2" t="inlineStr"/>
      <c r="O129" s="2" t="inlineStr">
        <is>
          <t>10.1155/2013/302947</t>
        </is>
      </c>
      <c r="P129" s="2" t="inlineStr">
        <is>
          <t>10.1155/2013/302947</t>
        </is>
      </c>
      <c r="Q129" s="2" t="inlineStr">
        <is>
          <t>1687-5990</t>
        </is>
      </c>
      <c r="R129" s="2" t="inlineStr"/>
      <c r="S129" s="2" t="inlineStr">
        <is>
          <t>http://dx.doi.org/10.1155/2013/302947</t>
        </is>
      </c>
      <c r="T129" s="2" t="inlineStr"/>
      <c r="U129" s="2" t="inlineStr">
        <is>
          <t>eng</t>
        </is>
      </c>
      <c r="V129" s="2" t="inlineStr">
        <is>
          <t>drupal</t>
        </is>
      </c>
      <c r="W129" s="2" t="inlineStr">
        <is>
          <t>112</t>
        </is>
      </c>
      <c r="X129" s="2" t="inlineStr">
        <is>
          <t>1</t>
        </is>
      </c>
      <c r="Y129" s="2" t="inlineStr">
        <is>
          <t>yes</t>
        </is>
      </c>
      <c r="Z129" s="2" t="inlineStr"/>
      <c r="AA129" s="2" t="inlineStr"/>
      <c r="AB129" s="2" t="inlineStr">
        <is>
          <t>legacy_drupal_historical</t>
        </is>
      </c>
      <c r="AC129" s="2" t="inlineStr"/>
    </row>
    <row r="130">
      <c r="A130" s="2" t="inlineStr">
        <is>
          <t>drupal-103</t>
        </is>
      </c>
      <c r="B130" s="2" t="inlineStr">
        <is>
          <t>2013</t>
        </is>
      </c>
      <c r="C130" s="2" t="inlineStr"/>
      <c r="D130" s="2" t="inlineStr">
        <is>
          <t>Digital Surface Models for GNSS Mission Planning in Critical Environments</t>
        </is>
      </c>
      <c r="E130" s="2" t="inlineStr">
        <is>
          <t>S. Ackermann; Antonio Angrisano; Silvio Del Pizzo; Salvatore Gaglione; Ciro Gioia; Salvatore Troisi</t>
        </is>
      </c>
      <c r="F130" s="2" t="inlineStr">
        <is>
          <t>Silvio Del Pizzo; Salvatore Gaglione; Salvatore Troisi</t>
        </is>
      </c>
      <c r="G130" s="2" t="inlineStr">
        <is>
          <t>Journal Article</t>
        </is>
      </c>
      <c r="H130" s="2" t="inlineStr">
        <is>
          <t>Journal of Surveying Engineering</t>
        </is>
      </c>
      <c r="I130" s="2" t="inlineStr"/>
      <c r="J130" s="2" t="inlineStr"/>
      <c r="K130" s="2" t="inlineStr"/>
      <c r="L130" s="2" t="inlineStr"/>
      <c r="M130" s="2" t="inlineStr"/>
      <c r="N130" s="2" t="inlineStr">
        <is>
          <t>null</t>
        </is>
      </c>
      <c r="O130" s="2" t="inlineStr">
        <is>
          <t>10.1061/(ASCE)SU.1943-5428.0000119</t>
        </is>
      </c>
      <c r="P130" s="2" t="inlineStr">
        <is>
          <t>10.1061/(ASCE)SU.1943-5428.0000119</t>
        </is>
      </c>
      <c r="Q130" s="2" t="inlineStr">
        <is>
          <t>0733-9453</t>
        </is>
      </c>
      <c r="R130" s="2" t="inlineStr"/>
      <c r="S130" s="2" t="inlineStr">
        <is>
          <t>http://ascelibrary.org/doi/abs/10.1061/%28ASCE%29SU.1943-5428.0000119</t>
        </is>
      </c>
      <c r="T130" s="2" t="inlineStr"/>
      <c r="U130" s="2" t="inlineStr">
        <is>
          <t>eng</t>
        </is>
      </c>
      <c r="V130" s="2" t="inlineStr">
        <is>
          <t>drupal</t>
        </is>
      </c>
      <c r="W130" s="2" t="inlineStr">
        <is>
          <t>103</t>
        </is>
      </c>
      <c r="X130" s="2" t="inlineStr">
        <is>
          <t>1</t>
        </is>
      </c>
      <c r="Y130" s="2" t="inlineStr">
        <is>
          <t>yes</t>
        </is>
      </c>
      <c r="Z130" s="2" t="inlineStr"/>
      <c r="AA130" s="2" t="inlineStr"/>
      <c r="AB130" s="2" t="inlineStr">
        <is>
          <t>legacy_drupal_historical</t>
        </is>
      </c>
      <c r="AC130" s="2" t="inlineStr"/>
    </row>
    <row r="131">
      <c r="A131" s="2" t="inlineStr">
        <is>
          <t>drupal-99</t>
        </is>
      </c>
      <c r="B131" s="2" t="inlineStr">
        <is>
          <t>2013</t>
        </is>
      </c>
      <c r="C131" s="2" t="inlineStr"/>
      <c r="D131" s="2" t="inlineStr">
        <is>
          <t>GNSS Reliability Testing in Signal-Degraded Scenario</t>
        </is>
      </c>
      <c r="E131" s="2" t="inlineStr">
        <is>
          <t>Antonio Angrisano; Ciro Gioia; Salvatore Gaglione; Giuseppe Del Core</t>
        </is>
      </c>
      <c r="F131" s="2" t="inlineStr">
        <is>
          <t>Salvatore Gaglione</t>
        </is>
      </c>
      <c r="G131" s="2" t="inlineStr">
        <is>
          <t>Journal Article</t>
        </is>
      </c>
      <c r="H131" s="2" t="inlineStr">
        <is>
          <t>International Journal of Navigation and Observation</t>
        </is>
      </c>
      <c r="I131" s="2" t="inlineStr"/>
      <c r="J131" s="2" t="inlineStr"/>
      <c r="K131" s="2" t="inlineStr"/>
      <c r="L131" s="2" t="inlineStr"/>
      <c r="M131" s="2" t="inlineStr"/>
      <c r="N131" s="2" t="inlineStr">
        <is>
          <t>–</t>
        </is>
      </c>
      <c r="O131" s="2" t="inlineStr">
        <is>
          <t>10.1155/2013/870365</t>
        </is>
      </c>
      <c r="P131" s="2" t="inlineStr">
        <is>
          <t>10.1155/2013/870365</t>
        </is>
      </c>
      <c r="Q131" s="2" t="inlineStr">
        <is>
          <t>1687-5990</t>
        </is>
      </c>
      <c r="R131" s="2" t="inlineStr"/>
      <c r="S131" s="2" t="inlineStr">
        <is>
          <t>http://dx.doi.org/10.1155/2013/870365</t>
        </is>
      </c>
      <c r="T131" s="2" t="inlineStr">
        <is>
          <t>Multiconstellation satellite navigation is critical in signal-degraded environments where signals are strongly corrupted. In this case, the use of a single GNSS system does not guarantee an accurate and continuous positioning. A possible approach to solve this problem is the use of multiconstellation receivers that provide additional measurements and allows robust reliability testing; in this work, a GPS/GLONASS combination is considered. In urban scenario, a modification of the classical RAIM technique is necessary taking into account frequent multiple blunders. The FDE schemes analysed are the “Observation Subset Testing,” “Forward-Backward Method,” and “Danish Method”; they are obtained by combining different basic statistical tests. The considered FDE methods are modified to optimize their behaviour in urban scenario. Specifically a preliminary check is implemented to screen out bad geometries. Moreover, a large blunder could cause multiple test failures; hence, a separability index is implemented to avoid the incorrect exclusion of blunder-free measurements. Testing the RAIM algorithms of GPS/GLONASS combination to verify the benefits relative to GPS only case is a main target of this work too. The performance of these methods is compared in terms of RMS and maximum error for the horizontal and vertical components of position and velocity.</t>
        </is>
      </c>
      <c r="U131" s="2" t="inlineStr">
        <is>
          <t>eng</t>
        </is>
      </c>
      <c r="V131" s="2" t="inlineStr">
        <is>
          <t>drupal</t>
        </is>
      </c>
      <c r="W131" s="2" t="inlineStr">
        <is>
          <t>99</t>
        </is>
      </c>
      <c r="X131" s="2" t="inlineStr">
        <is>
          <t>1</t>
        </is>
      </c>
      <c r="Y131" s="2" t="inlineStr">
        <is>
          <t>yes</t>
        </is>
      </c>
      <c r="Z131" s="2" t="inlineStr"/>
      <c r="AA131" s="2" t="inlineStr"/>
      <c r="AB131" s="2" t="inlineStr">
        <is>
          <t>legacy_drupal_historical</t>
        </is>
      </c>
      <c r="AC131" s="2" t="inlineStr"/>
    </row>
    <row r="132">
      <c r="A132" s="2" t="inlineStr">
        <is>
          <t>drupal-101</t>
        </is>
      </c>
      <c r="B132" s="2" t="inlineStr">
        <is>
          <t>2013</t>
        </is>
      </c>
      <c r="C132" s="2" t="inlineStr"/>
      <c r="D132" s="2" t="inlineStr">
        <is>
          <t>Performance assessment of aided Global Navigation Satellite System for land navigation</t>
        </is>
      </c>
      <c r="E132" s="2" t="inlineStr">
        <is>
          <t>Antonio Angrisano; Salvatore Gaglione; Ciro Gioia</t>
        </is>
      </c>
      <c r="F132" s="2" t="inlineStr">
        <is>
          <t>Salvatore Gaglione</t>
        </is>
      </c>
      <c r="G132" s="2" t="inlineStr">
        <is>
          <t>Journal Article</t>
        </is>
      </c>
      <c r="H132" s="2" t="inlineStr">
        <is>
          <t>IET Radar, Sonar &amp; Navigation</t>
        </is>
      </c>
      <c r="I132" s="2" t="inlineStr"/>
      <c r="J132" s="2" t="inlineStr"/>
      <c r="K132" s="2" t="inlineStr"/>
      <c r="L132" s="2" t="inlineStr">
        <is>
          <t>7</t>
        </is>
      </c>
      <c r="M132" s="2" t="inlineStr"/>
      <c r="N132" s="2" t="inlineStr">
        <is>
          <t>671–680</t>
        </is>
      </c>
      <c r="O132" s="2" t="inlineStr">
        <is>
          <t>10.1049/iet-rsn.2012.0224</t>
        </is>
      </c>
      <c r="P132" s="2" t="inlineStr">
        <is>
          <t>10.1049/iet-rsn.2012.0224</t>
        </is>
      </c>
      <c r="Q132" s="2" t="inlineStr"/>
      <c r="R132" s="2" t="inlineStr"/>
      <c r="S132" s="2" t="inlineStr">
        <is>
          <t>http://ieeexplore.ieee.org/xpl/articleDetails.jsp?arnumber=6573687</t>
        </is>
      </c>
      <c r="T132" s="2" t="inlineStr"/>
      <c r="U132" s="2" t="inlineStr">
        <is>
          <t>eng</t>
        </is>
      </c>
      <c r="V132" s="2" t="inlineStr">
        <is>
          <t>drupal</t>
        </is>
      </c>
      <c r="W132" s="2" t="inlineStr">
        <is>
          <t>101</t>
        </is>
      </c>
      <c r="X132" s="2" t="inlineStr">
        <is>
          <t>1</t>
        </is>
      </c>
      <c r="Y132" s="2" t="inlineStr">
        <is>
          <t>yes</t>
        </is>
      </c>
      <c r="Z132" s="2" t="inlineStr"/>
      <c r="AA132" s="2" t="inlineStr"/>
      <c r="AB132" s="2" t="inlineStr">
        <is>
          <t>legacy_drupal_historical</t>
        </is>
      </c>
      <c r="AC132" s="2" t="inlineStr"/>
    </row>
    <row r="133">
      <c r="A133" s="2" t="inlineStr">
        <is>
          <t>drupal-84</t>
        </is>
      </c>
      <c r="B133" s="2" t="inlineStr">
        <is>
          <t>2013</t>
        </is>
      </c>
      <c r="C133" s="2" t="inlineStr"/>
      <c r="D133" s="2" t="inlineStr">
        <is>
          <t>Performance assessment of GPS/GLONASS single point positioning in an urban environment</t>
        </is>
      </c>
      <c r="E133" s="2" t="inlineStr">
        <is>
          <t>Antonio Angrisano; Salvatore Gaglione; Ciro Gioia</t>
        </is>
      </c>
      <c r="F133" s="2" t="inlineStr">
        <is>
          <t>Salvatore Gaglione</t>
        </is>
      </c>
      <c r="G133" s="2" t="inlineStr">
        <is>
          <t>Journal Article</t>
        </is>
      </c>
      <c r="H133" s="2" t="inlineStr">
        <is>
          <t>Acta Geodaetica et Geophysica</t>
        </is>
      </c>
      <c r="I133" s="2" t="inlineStr"/>
      <c r="J133" s="2" t="inlineStr"/>
      <c r="K133" s="2" t="inlineStr"/>
      <c r="L133" s="2" t="inlineStr"/>
      <c r="M133" s="2" t="inlineStr"/>
      <c r="N133" s="2" t="inlineStr">
        <is>
          <t>1-13</t>
        </is>
      </c>
      <c r="O133" s="2" t="inlineStr">
        <is>
          <t>10.1007/s40328-012-0010-4</t>
        </is>
      </c>
      <c r="P133" s="2" t="inlineStr">
        <is>
          <t>10.1007/s40328-012-0010-4</t>
        </is>
      </c>
      <c r="Q133" s="2" t="inlineStr">
        <is>
          <t>2213-5812</t>
        </is>
      </c>
      <c r="R133" s="2" t="inlineStr"/>
      <c r="S133" s="2" t="inlineStr">
        <is>
          <t>http://dx.doi.org/10.1007/s40328-012-0010-4</t>
        </is>
      </c>
      <c r="T133" s="2" t="inlineStr">
        <is>
          <t>In signal-degraded environments such as urban canyons and mountainous area, many GNSS signals are either blocked or strongly degraded by natural and artificial obstacles. In such scenarios standalone GPS is often unable to guarantee a continuous and accurate positioning due to lack (or the poor quality) of signals. The combination of different GNSSs could be a suitable approach to fill this gap, because the multi-constellation system guarantees an improved satellite availability compared to standalone GPS, thus providing enhanced accuracy, continuity and integrity of the positioning. The present GNSSs are GPS, GLONASS, Galileo and Beidou, but the latter two are still in the development phase. In this work GPS/GLONASS systems are combined for single point positioning and their performance are assessed for different configurations. Using GPS/GLONASS multi-constellation implies the addition of an additional unknown, i.e. the intersystem time scale offset, which requires a sacrifice of one measurement. Since the intersystem offset is quasi-constant over a short period, a pseudo-measurement can be introduced to compensate the sacrifice. The benefit after adding a pseudo-measurement has been demonstrated in a vehicular test.</t>
        </is>
      </c>
      <c r="U133" s="2" t="inlineStr">
        <is>
          <t>eng</t>
        </is>
      </c>
      <c r="V133" s="2" t="inlineStr">
        <is>
          <t>drupal</t>
        </is>
      </c>
      <c r="W133" s="2" t="inlineStr">
        <is>
          <t>84</t>
        </is>
      </c>
      <c r="X133" s="2" t="inlineStr">
        <is>
          <t>1</t>
        </is>
      </c>
      <c r="Y133" s="2" t="inlineStr">
        <is>
          <t>yes</t>
        </is>
      </c>
      <c r="Z133" s="2" t="inlineStr"/>
      <c r="AA133" s="2" t="inlineStr"/>
      <c r="AB133" s="2" t="inlineStr">
        <is>
          <t>legacy_drupal_historical</t>
        </is>
      </c>
      <c r="AC133" s="2" t="inlineStr"/>
    </row>
    <row r="134">
      <c r="A134" s="2" t="inlineStr">
        <is>
          <t>drupal-100</t>
        </is>
      </c>
      <c r="B134" s="2" t="inlineStr">
        <is>
          <t>2013</t>
        </is>
      </c>
      <c r="C134" s="2" t="inlineStr">
        <is>
          <t>06/2013</t>
        </is>
      </c>
      <c r="D134" s="2" t="inlineStr">
        <is>
          <t>Testing the Test Satellites: the Galileo IOV Measurement Accuracy</t>
        </is>
      </c>
      <c r="E134" s="2" t="inlineStr">
        <is>
          <t>Antonio Angrisano; Salvatore Gaglione; Ciro Gioia; Daniele Borio; Joaquim Fortuny-Guasch</t>
        </is>
      </c>
      <c r="F134" s="2" t="inlineStr">
        <is>
          <t>Salvatore Gaglione</t>
        </is>
      </c>
      <c r="G134" s="2" t="inlineStr">
        <is>
          <t>Conference Paper</t>
        </is>
      </c>
      <c r="H134" s="2" t="inlineStr">
        <is>
          <t>ICL-GNSS 2013 : International Conference on Localization and GNSS (accepted)</t>
        </is>
      </c>
      <c r="I134" s="2" t="inlineStr"/>
      <c r="J134" s="2" t="inlineStr"/>
      <c r="K134" s="2" t="inlineStr"/>
      <c r="L134" s="2" t="inlineStr"/>
      <c r="M134" s="2" t="inlineStr"/>
      <c r="N134" s="2" t="inlineStr"/>
      <c r="O134" s="2" t="inlineStr"/>
      <c r="P134" s="2" t="inlineStr"/>
      <c r="Q134" s="2" t="inlineStr"/>
      <c r="R134" s="2" t="inlineStr"/>
      <c r="S134" s="2" t="inlineStr"/>
      <c r="T134" s="2" t="inlineStr">
        <is>
          <t>Abstract — The European GNSS, Galileo, is currently in its InOrbit Validation (IOV) phase where four satellites are finally available for computing the user position. In this phase, the analysis of the measurements obtained from the IOV satellites can provide insight on the performance and potentialities of the Galileo system. In this paper, a methodology based on the use of precise orbits and ionospheric corrections is suggested for the analysis of the Galileo IOV pseudorange and pseudorange rate errors. Several hours of data were collected using a Septentrio PolarRxS receiver and used to determine figures of merits such as RMS and maximum errors of the Galileo observables. From the analysis it emerges that Galileo measurements have accuracies comparable with those of GPS. The benefits of combined GPS-Galileo positioning are also highlighted and results relative to the computation of a Galileo-only navigation solution based on broadcast ephemerides are provided.</t>
        </is>
      </c>
      <c r="U134" s="2" t="inlineStr">
        <is>
          <t>eng</t>
        </is>
      </c>
      <c r="V134" s="2" t="inlineStr">
        <is>
          <t>drupal</t>
        </is>
      </c>
      <c r="W134" s="2" t="inlineStr">
        <is>
          <t>100</t>
        </is>
      </c>
      <c r="X134" s="2" t="inlineStr">
        <is>
          <t>1</t>
        </is>
      </c>
      <c r="Y134" s="2" t="inlineStr">
        <is>
          <t>yes</t>
        </is>
      </c>
      <c r="Z134" s="2" t="inlineStr">
        <is>
          <t>missing_doi</t>
        </is>
      </c>
      <c r="AA134" s="2" t="inlineStr"/>
      <c r="AB134" s="2" t="inlineStr">
        <is>
          <t>legacy_drupal_historical</t>
        </is>
      </c>
      <c r="AC134" s="2" t="inlineStr"/>
    </row>
    <row r="135">
      <c r="A135" s="2" t="inlineStr">
        <is>
          <t>drupal-82</t>
        </is>
      </c>
      <c r="B135" s="2" t="inlineStr">
        <is>
          <t>2012</t>
        </is>
      </c>
      <c r="C135" s="2" t="inlineStr">
        <is>
          <t>04/2012</t>
        </is>
      </c>
      <c r="D135" s="2" t="inlineStr">
        <is>
          <t>Aided GPS/GLONASS navigation in urban environment</t>
        </is>
      </c>
      <c r="E135" s="2" t="inlineStr">
        <is>
          <t>Antonio Angrisano; Salvatore Gaglione; Ciro Gioia; Mario Vultaggio</t>
        </is>
      </c>
      <c r="F135" s="2" t="inlineStr">
        <is>
          <t>Salvatore Gaglione</t>
        </is>
      </c>
      <c r="G135" s="2" t="inlineStr">
        <is>
          <t>Conference Paper</t>
        </is>
      </c>
      <c r="H135" s="2" t="inlineStr">
        <is>
          <t>ENC 2012</t>
        </is>
      </c>
      <c r="I135" s="2" t="inlineStr"/>
      <c r="J135" s="2" t="inlineStr"/>
      <c r="K135" s="2" t="inlineStr"/>
      <c r="L135" s="2" t="inlineStr"/>
      <c r="M135" s="2" t="inlineStr"/>
      <c r="N135" s="2" t="inlineStr"/>
      <c r="O135" s="2" t="inlineStr"/>
      <c r="P135" s="2" t="inlineStr"/>
      <c r="Q135" s="2" t="inlineStr"/>
      <c r="R135" s="2" t="inlineStr"/>
      <c r="S135" s="2" t="inlineStr"/>
      <c r="T135" s="2" t="inlineStr">
        <is>
          <t>In signal-degraded environments such as urban canyons or mountainous areas many GPS signals are blocked by natural or artificial obstacles or severely degraded; hence GPS-only cannot guarantee an accurate and continuous positioning. The multi constellation approach, integrating different GNSS systems, is a possible way to fill this gap. GLONASS, the Russian navigation satellite system, is currently the main candidate as element of a multi constellation; it is nearly fully operational and its inclusion guarantees an improvement of the satellite availability. Another possible future component of integrated GNSS system is the European Galileo currently in a validation phase with only 4 satellites in orbit GIOVE A/B experimental satellites and 2 Galileo for the IOV phase. In this work GPS/GLONASS systems are combined and relative single point algorithm performance is assessed for different configurations in signal-degraded scenario such as urban canyon. GPS/GLONASS multi-constellation use involves the addition of a further unknown to estimate, i.e. the intersystem time scale offset, which requires the “sacrifice” of one measurement. The intersystem offset is observed to be quasi-constant, so an aiding can be introduced to account for its behavior. A similar approach can be adopted for altitude considering its typical variations in urban scenario. The considered estimation techniques are least squares and Kalman filter, commonly adopted to calculate the navigation unknowns from pseudorange measurements. The least squares method uses a model relating measurements and state with the drawback of solution unavailability during GNSS outages (very frequent in urban areas); to improve the continuity constrained least squares adjustments are considered. Kalman filter uses, in addition to a measurement model, a process model expressing the unknown dynamics and allowing the state estimation in case of GNSS outage. The main purpose of this work is the performance assessment of a multi-constellation system relative to GPS-only adopting least squares or Kalman filter estimators.</t>
        </is>
      </c>
      <c r="U135" s="2" t="inlineStr">
        <is>
          <t>eng</t>
        </is>
      </c>
      <c r="V135" s="2" t="inlineStr">
        <is>
          <t>drupal</t>
        </is>
      </c>
      <c r="W135" s="2" t="inlineStr">
        <is>
          <t>82</t>
        </is>
      </c>
      <c r="X135" s="2" t="inlineStr">
        <is>
          <t>1</t>
        </is>
      </c>
      <c r="Y135" s="2" t="inlineStr">
        <is>
          <t>yes</t>
        </is>
      </c>
      <c r="Z135" s="2" t="inlineStr">
        <is>
          <t>missing_doi</t>
        </is>
      </c>
      <c r="AA135" s="2" t="inlineStr"/>
      <c r="AB135" s="2" t="inlineStr">
        <is>
          <t>legacy_drupal_historical</t>
        </is>
      </c>
      <c r="AC135" s="2" t="inlineStr"/>
    </row>
    <row r="136">
      <c r="A136" s="2" t="inlineStr">
        <is>
          <t>drupal-65</t>
        </is>
      </c>
      <c r="B136" s="2" t="inlineStr">
        <is>
          <t>2012</t>
        </is>
      </c>
      <c r="C136" s="2" t="inlineStr">
        <is>
          <t>04/2012</t>
        </is>
      </c>
      <c r="D136" s="2" t="inlineStr">
        <is>
          <t>Benefits of Combined GPS/GLONASS with Low-Cost MEMS IMUs for Vehicular Urban Navigation</t>
        </is>
      </c>
      <c r="E136" s="2" t="inlineStr">
        <is>
          <t>Antonio Angrisano; M Petovello; Giovanni Pugliano</t>
        </is>
      </c>
      <c r="F136" s="2" t="inlineStr"/>
      <c r="G136" s="2" t="inlineStr">
        <is>
          <t>Journal Article</t>
        </is>
      </c>
      <c r="H136" s="2" t="inlineStr">
        <is>
          <t>Sensors</t>
        </is>
      </c>
      <c r="I136" s="2" t="inlineStr"/>
      <c r="J136" s="2" t="inlineStr"/>
      <c r="K136" s="2" t="inlineStr"/>
      <c r="L136" s="2" t="inlineStr">
        <is>
          <t>12</t>
        </is>
      </c>
      <c r="M136" s="2" t="inlineStr">
        <is>
          <t>4</t>
        </is>
      </c>
      <c r="N136" s="2" t="inlineStr">
        <is>
          <t>25</t>
        </is>
      </c>
      <c r="O136" s="2" t="inlineStr">
        <is>
          <t>10.3390/s120405134</t>
        </is>
      </c>
      <c r="P136" s="2" t="inlineStr">
        <is>
          <t>10.3390/s120405134</t>
        </is>
      </c>
      <c r="Q136" s="2" t="inlineStr">
        <is>
          <t>1424-8220</t>
        </is>
      </c>
      <c r="R136" s="2" t="inlineStr"/>
      <c r="S136" s="2" t="inlineStr">
        <is>
          <t>http://www.mdpi.com/1424-8220/12/4/5134</t>
        </is>
      </c>
      <c r="T136" s="2" t="inlineStr">
        <is>
          <t>The integration of Global Navigation Satellite Systems (GNSS) with Inertial Navigation Systems (INS) has been very actively researched for many years due to the complementary nature of the two systems. In particular, during the last few years the integration with micro-electromechanical system (MEMS) inertial measurement units (IMUs) has been investigated. In fact, recent advances in MEMS technology have made possible the development of a new generation of low cost inertial sensors characterized by small size and light weight, which represents an attractive option for mass-market applications such as vehicular and pedestrian navigation. However, whereas there has been much interest in the integration of GPS with a MEMS-based INS, few research studies have been conducted on expanding this application to the revitalized GLONASS system. This paper looks at the benefits of adding GLONASS to existing GPS/INS(MEMS) systems using loose and tight integration strategies. The relative benefits of various constraints are also assessed. Results show that when satellite visibility is poor (approximately 50% solution availability) the benefits of GLONASS are only seen with tight integration algorithms. For more benign environments, a loosely coupled GPS/GLONASS/INS system offers performance comparable to that of a tightly coupled GPS/INS system, but with reduced complexity and development time.</t>
        </is>
      </c>
      <c r="U136" s="2" t="inlineStr">
        <is>
          <t>eng</t>
        </is>
      </c>
      <c r="V136" s="2" t="inlineStr">
        <is>
          <t>drupal</t>
        </is>
      </c>
      <c r="W136" s="2" t="inlineStr">
        <is>
          <t>65</t>
        </is>
      </c>
      <c r="X136" s="2" t="inlineStr">
        <is>
          <t>1</t>
        </is>
      </c>
      <c r="Y136" s="2" t="inlineStr">
        <is>
          <t>yes</t>
        </is>
      </c>
      <c r="Z136" s="2" t="inlineStr"/>
      <c r="AA136" s="2" t="inlineStr"/>
      <c r="AB136" s="2" t="inlineStr">
        <is>
          <t>legacy_drupal_historical</t>
        </is>
      </c>
      <c r="AC136" s="2" t="inlineStr"/>
    </row>
    <row r="137">
      <c r="A137" s="2" t="inlineStr">
        <is>
          <t>drupal-106</t>
        </is>
      </c>
      <c r="B137" s="2" t="inlineStr">
        <is>
          <t>2012</t>
        </is>
      </c>
      <c r="C137" s="2" t="inlineStr"/>
      <c r="D137" s="2" t="inlineStr">
        <is>
          <t>Confronto tra Tecniche RAIM e NIORAIM in Ambiente Urbano</t>
        </is>
      </c>
      <c r="E137" s="2" t="inlineStr">
        <is>
          <t>Giuseppe Rotondo</t>
        </is>
      </c>
      <c r="F137" s="2" t="inlineStr"/>
      <c r="G137" s="2" t="inlineStr">
        <is>
          <t>Thesis</t>
        </is>
      </c>
      <c r="H137" s="2" t="inlineStr"/>
      <c r="I137" s="2" t="inlineStr"/>
      <c r="J137" s="2" t="inlineStr">
        <is>
          <t>Parthenope</t>
        </is>
      </c>
      <c r="K137" s="2" t="inlineStr"/>
      <c r="L137" s="2" t="inlineStr"/>
      <c r="M137" s="2" t="inlineStr"/>
      <c r="N137" s="2" t="inlineStr"/>
      <c r="O137" s="2" t="inlineStr"/>
      <c r="P137" s="2" t="inlineStr"/>
      <c r="Q137" s="2" t="inlineStr"/>
      <c r="R137" s="2" t="inlineStr"/>
      <c r="S137" s="2" t="inlineStr"/>
      <c r="T137" s="2" t="inlineStr"/>
      <c r="U137" s="2" t="inlineStr">
        <is>
          <t>eng</t>
        </is>
      </c>
      <c r="V137" s="2" t="inlineStr">
        <is>
          <t>drupal</t>
        </is>
      </c>
      <c r="W137" s="2" t="inlineStr">
        <is>
          <t>106</t>
        </is>
      </c>
      <c r="X137" s="2" t="inlineStr">
        <is>
          <t>1</t>
        </is>
      </c>
      <c r="Y137" s="2" t="inlineStr">
        <is>
          <t>yes</t>
        </is>
      </c>
      <c r="Z137" s="2" t="inlineStr">
        <is>
          <t>missing_doi</t>
        </is>
      </c>
      <c r="AA137" s="2" t="inlineStr"/>
      <c r="AB137" s="2" t="inlineStr">
        <is>
          <t>legacy_drupal_historical</t>
        </is>
      </c>
      <c r="AC137" s="2" t="inlineStr"/>
    </row>
    <row r="138">
      <c r="A138" s="2" t="inlineStr">
        <is>
          <t>drupal-34</t>
        </is>
      </c>
      <c r="B138" s="2" t="inlineStr">
        <is>
          <t>2012</t>
        </is>
      </c>
      <c r="C138" s="2" t="inlineStr"/>
      <c r="D138" s="2" t="inlineStr">
        <is>
          <t>GIOVE Satellites Pseudorange Error Assessment</t>
        </is>
      </c>
      <c r="E138" s="2" t="inlineStr">
        <is>
          <t>Antonio Angrisano; Salvatore Gaglione; Ciro Gioia; Umberto Robustelli; Mario Vultaggio</t>
        </is>
      </c>
      <c r="F138" s="2" t="inlineStr">
        <is>
          <t>Salvatore Gaglione</t>
        </is>
      </c>
      <c r="G138" s="2" t="inlineStr">
        <is>
          <t>Journal Article</t>
        </is>
      </c>
      <c r="H138" s="2" t="inlineStr">
        <is>
          <t>JOURNAL OF NAVIGATION</t>
        </is>
      </c>
      <c r="I138" s="2" t="inlineStr"/>
      <c r="J138" s="2" t="inlineStr"/>
      <c r="K138" s="2" t="inlineStr"/>
      <c r="L138" s="2" t="inlineStr">
        <is>
          <t>65</t>
        </is>
      </c>
      <c r="M138" s="2" t="inlineStr"/>
      <c r="N138" s="2" t="inlineStr">
        <is>
          <t>29–40</t>
        </is>
      </c>
      <c r="O138" s="2" t="inlineStr">
        <is>
          <t>10.1017/S0373463311000270</t>
        </is>
      </c>
      <c r="P138" s="2" t="inlineStr">
        <is>
          <t>10.1017/S0373463311000270</t>
        </is>
      </c>
      <c r="Q138" s="2" t="inlineStr">
        <is>
          <t>0373-4633</t>
        </is>
      </c>
      <c r="R138" s="2" t="inlineStr"/>
      <c r="S138" s="2" t="inlineStr">
        <is>
          <t>http://dx.medra.org/10.1017/S0373463311000270</t>
        </is>
      </c>
      <c r="T138" s="2" t="inlineStr">
        <is>
          <t>Galileo is a global civil navigation satellite system developed in Europe as an alternative to the GPS controlled by the US Department of Defense and GLONASS controlled by Russian Space Forces. It is scheduled to be operative in 2013 and it will have 30 satellites orbiting on three inclined planes with respect to the equatorial plane at an altitude of about 24 000 km. The aim of this work is the study of the pseudorange error of the GIOVE satellites. To achieve this goal, the specifications defined in Giove A-B Navigation Signal in Space Interface Control Document (ICD) are used to develop a suitable software tool in MATLAB® environment. The tool is able to compute GIOVE A and GIOVE B position from the broadcast ephemerides, to calculate the pseudorange error and to process it. From the known receiver position and the computed satellite coordinates, the geometric range is obtained and compared with the pseudorange measurement, in order to obtain the pseudorange error.</t>
        </is>
      </c>
      <c r="U138" s="2" t="inlineStr">
        <is>
          <t>eng</t>
        </is>
      </c>
      <c r="V138" s="2" t="inlineStr">
        <is>
          <t>drupal</t>
        </is>
      </c>
      <c r="W138" s="2" t="inlineStr">
        <is>
          <t>34</t>
        </is>
      </c>
      <c r="X138" s="2" t="inlineStr">
        <is>
          <t>1</t>
        </is>
      </c>
      <c r="Y138" s="2" t="inlineStr">
        <is>
          <t>yes</t>
        </is>
      </c>
      <c r="Z138" s="2" t="inlineStr"/>
      <c r="AA138" s="2" t="inlineStr"/>
      <c r="AB138" s="2" t="inlineStr">
        <is>
          <t>legacy_drupal_historical</t>
        </is>
      </c>
      <c r="AC138" s="2" t="inlineStr"/>
    </row>
    <row r="139">
      <c r="A139" s="2" t="inlineStr">
        <is>
          <t>drupal-85</t>
        </is>
      </c>
      <c r="B139" s="2" t="inlineStr">
        <is>
          <t>2012</t>
        </is>
      </c>
      <c r="C139" s="2" t="inlineStr"/>
      <c r="D139" s="2" t="inlineStr">
        <is>
          <t>RAIM algorithms for aided GNSS in urban scenario</t>
        </is>
      </c>
      <c r="E139" s="2" t="inlineStr">
        <is>
          <t>Antonio Angrisano; Salvatore Gaglione; Ciro Gioia</t>
        </is>
      </c>
      <c r="F139" s="2" t="inlineStr">
        <is>
          <t>Salvatore Gaglione</t>
        </is>
      </c>
      <c r="G139" s="2" t="inlineStr">
        <is>
          <t>Conference Paper</t>
        </is>
      </c>
      <c r="H139" s="2" t="inlineStr">
        <is>
          <t>Ubiquitous Positioning, Indoor Navigation, and Location Based Service (UPINLBS), 2012</t>
        </is>
      </c>
      <c r="I139" s="2" t="inlineStr"/>
      <c r="J139" s="2" t="inlineStr"/>
      <c r="K139" s="2" t="inlineStr"/>
      <c r="L139" s="2" t="inlineStr"/>
      <c r="M139" s="2" t="inlineStr"/>
      <c r="N139" s="2" t="inlineStr"/>
      <c r="O139" s="2" t="inlineStr">
        <is>
          <t>http://dx.doi.org/10.1109/UPINLBS.2012.6409786</t>
        </is>
      </c>
      <c r="P139" s="2" t="inlineStr">
        <is>
          <t>10.1109/UPINLBS.2012.6409786</t>
        </is>
      </c>
      <c r="Q139" s="2" t="inlineStr"/>
      <c r="R139" s="2" t="inlineStr">
        <is>
          <t>978-1-4673-1908-9</t>
        </is>
      </c>
      <c r="S139" s="2" t="inlineStr">
        <is>
          <t>http://ieeexplore.ieee.org/Xplore/defdeny.jsp?url=http%3A%2F%2Fieeexplore.ieee.org%2Fstamp%2Fstamp.jsp%3Ftp%3D%26arnumber%3D6409786&amp;denyReason=-133&amp;arnumber=6409786&amp;productsMatched=null&amp;userType=inst</t>
        </is>
      </c>
      <c r="T139" s="2" t="inlineStr">
        <is>
          <t>Urban canyon is a critical scenario for satellite navigation, because many GNSS signals are blocked by artificial obstacles or severely degraded; in standalone mode GPS, currently the main GNSS, cannot guarantee an accurate and continuous positioning. A possible approach to overcome these limitations is the use of multiple GNSS systems. GLONASS, the Russian navigation satellite system, is currently fully operational and is the main candidate to support this thesis. Urban scenario is mainly affected by multipath phenomenon, yielding several blunders into the measurements and unacceptable errors in the navigation solution. The integrity concept was introduced for safety-of-life application as aviation to provide timely warnings to users when a system should not be used for navigation, and then it was expanded to not safety-of-life service as urban navigation. RAIM (Receiver Autonomous Integrity Monitoring) techniques are user-level integrity methods based on consistency check of redundant measurements. This check is crucial because only at user-level certain local errors, such as multipath and local interferences, can be detected. Multi-constellation GNSS improves navigation solution in terms of accuracy and continuity; a further enhancement is achievable even in terms of integrity owing to the gained redundancy. The multi-constellation use implies a further unknown related to the intersystem time scale offset, requiring the \“sacrifice\” of one measurement. This parameter is observed to be quasi-constant in the short term, so an aiding can be introduced to account for its behavior. A similar approach can be adopted for altitude considering its slow variations in urban scenario. In this work GPS/GLONASS systems are combined and the benefits of the aforesaid aids are assessed, with main focus being the improvements in terms of integrity; single point GNSS and snapshot RAIM algorithms are herein considered. PVT and RAIM algorithms are developed in MatLab\- #x00AE; environment and belong to a tool implemented by PANG (PArthenope Navigation Group).</t>
        </is>
      </c>
      <c r="U139" s="2" t="inlineStr">
        <is>
          <t>eng</t>
        </is>
      </c>
      <c r="V139" s="2" t="inlineStr">
        <is>
          <t>drupal</t>
        </is>
      </c>
      <c r="W139" s="2" t="inlineStr">
        <is>
          <t>85</t>
        </is>
      </c>
      <c r="X139" s="2" t="inlineStr">
        <is>
          <t>1</t>
        </is>
      </c>
      <c r="Y139" s="2" t="inlineStr">
        <is>
          <t>yes</t>
        </is>
      </c>
      <c r="Z139" s="2" t="inlineStr">
        <is>
          <t>doi_normalized</t>
        </is>
      </c>
      <c r="AA139" s="2" t="inlineStr"/>
      <c r="AB139" s="2" t="inlineStr">
        <is>
          <t>legacy_drupal_historical</t>
        </is>
      </c>
      <c r="AC139" s="2" t="inlineStr"/>
    </row>
    <row r="140">
      <c r="A140" s="2" t="inlineStr">
        <is>
          <t>drupal-71</t>
        </is>
      </c>
      <c r="B140" s="2" t="inlineStr">
        <is>
          <t>2012</t>
        </is>
      </c>
      <c r="C140" s="2" t="inlineStr"/>
      <c r="D140" s="2" t="inlineStr">
        <is>
          <t>Tecniche RAIM per il Posizionamento Satellitare in Single Point</t>
        </is>
      </c>
      <c r="E140" s="2" t="inlineStr">
        <is>
          <t>L. Perrotta</t>
        </is>
      </c>
      <c r="F140" s="2" t="inlineStr"/>
      <c r="G140" s="2" t="inlineStr">
        <is>
          <t>Thesis</t>
        </is>
      </c>
      <c r="H140" s="2" t="inlineStr">
        <is>
          <t>Dipartimento di Scienze Applicate</t>
        </is>
      </c>
      <c r="I140" s="2" t="inlineStr"/>
      <c r="J140" s="2" t="inlineStr">
        <is>
          <t>Parthenope</t>
        </is>
      </c>
      <c r="K140" s="2" t="inlineStr">
        <is>
          <t>Naples</t>
        </is>
      </c>
      <c r="L140" s="2" t="inlineStr">
        <is>
          <t>MSc</t>
        </is>
      </c>
      <c r="M140" s="2" t="inlineStr"/>
      <c r="N140" s="2" t="inlineStr"/>
      <c r="O140" s="2" t="inlineStr"/>
      <c r="P140" s="2" t="inlineStr"/>
      <c r="Q140" s="2" t="inlineStr"/>
      <c r="R140" s="2" t="inlineStr"/>
      <c r="S140" s="2" t="inlineStr"/>
      <c r="T140" s="2" t="inlineStr">
        <is>
          <t>Oggigiorno, i sistemi di navigazione satellitare (GNSS) ricoprono un ruolo fondamentale in molti settori come l’aviazione civile e la navigazione, marittima o terrestre, grazie alla capacità di fornire con accuratezza e continuità informazioni di posizione tridimensionale e velocità agli utenti opportunamente equipaggiati, nonché la sincronizzazione con il tempo UTC (Universal Time Coordinate). Attualmente, solo due sistemi GNSS sono pienamente operativi: il GPS (Global Positioning System) e il sistema Russo GLONASS (Global Navigation Satellite System) mentre, altri sistemi come l’Europeo GALILEO o il Cinese BeiDou sono attualmente in fase di sviluppo. Il GPS è attualmente considerato il principale sistema GNSS ed è in grado di garantire la stima della posizione di un utente attraverso l’utilizzo dell’osservabile pseudorange in single point, con un’accuratezza di circa 10 metri in condizioni di buona visibilità. Il principale svantaggio del GPS, e dei sistemi GNSS in generale, è la necessità di avere una buona visibilità di satelliti; per questa ragione gli ambienti in cui si ha un forte degrado del segnale, come le aree urbane, risultano essere aree particolarmente critiche per la navigazione satellitare. Infatti, gli edifici possono bloccare alcuni segnali riducendo così la disponibilità di satelliti, causando un peggioramento della loro configurazione geometrica, fino a casi estremi in cui, a causa della mancanza di misure, non sia possibile il calcolo della soluzione di navigazione. Gli edifici possono anche riflettere i segnali dando luogo al fenomeno del multipath e introducendo errori grossolani nelle misure. L’utilizzo del solo sistema GPS risulta essere, quindi, non adeguato a garantire la continuità e l’accuratezza della soluzione di navigazione in ambienti urbani. In queste particolari circostanze un possibile miglioramento può essere ottenuto combinando il sistema GPS con il sistema Russo GLONASS in modo da aumentare la disponibilità di satelliti visibili ad ogni epoca. In ambito aeronautico, tutti i sistemi GNSS devono essere in grado di soddisfare particolari requisiti di sicurezza (RNP – Required Navigation Performance) in termini di disponibilità, continuità, accuratezza e integrità. Quest’ultimo è il requisito più difficile da soddisfare e rappresenta la capacità del sistema di navigazione di rilevare e segnalare tempestivamente malfunzionamenti che potrebbero compromettere le prestazioni richieste per le diverse fasi di volo. Sebbene i sistemi GNSS forniscano informazioni di integrità agli utenti tramite il messaggio di navigazione (l’health flag dei satelliti), queste non sono ritenute sufficientemente tempestive per molte applicazioni; per questa ragione i requisiti di integrità sono generalmente ottenuti implementando vari meccanismi a vari livelli e possono essere conseguiti o mediante informazioni esterne o possono essere basati interamente sulle sole misure disponibili al ricevitore. In particolare:  A livello esterno, è possibile ottenere informazioni di integrità (livello di integrità e warning) attraverso l’utilizzo di sistemi di augmentation che prevedono l’utilizzo di infrastrutture spaziali (SBAS – Satellite Based Augmentation System) e/o terrestri (GBAS – Ground Based Augmentation System).  A livello locale, un utente può realizzare l’integrità effettuando un check sulla consistenza delle misure attraverso particolari tecniche (dette RAIM).Le tecniche RAIM (Receiver Autonomous Integrity Monitoring) sono state inizialmente sviluppate per applicazioni di tipo aeronautico e sono, generalmente, utilizzate in specifiche fasi di volo. Esse risultano essere un mezzo supplementare per l’individuazione di blunder attraverso il solo utilizzo di ricevitori GNSS senza la necessità di apparecchiature aggiuntive al suolo. Viene, infatti, richiesta esclusivamente una ridondanza sufficiente per l’applicazione dei test statistici. L’obiettivo principale di questo lavoro è sviluppare tecniche RAIM per la navigazione satellitare in single point per applicazioni in ambienti urbani degradati. Inizialmente viene fornita una breve panoramica sui sistemi GNSS utilizzati in questo lavoro. In particolare sono messe in evidenza le principali similitudini e differenze tra il sistema GPS e il sistema GLONASS Successivamente sono descritte le tecniche di stima utilizzate per il calcolo della soluzione di navigazione ed è fornita una breve descrizione dei test statistici alla base degli schemi RAIM utilizzati. Sono poi descritti gli algoritmi per il calcolo di posizione e velocità con misure di pseudorange e Doppler sui segnali GPS e GLONASS. In seguito sono descritti in dettaglio gli algoritmi RAIM implementati: l’Observation Subset Testing, il metodo Forward-Backward ed il Metodo Danese, ognuno dei quali caratterizzato dalle proprie peculiarità. Infine sono illustrati i risultati ottenuti attraverso l’applicazione dei tre schemi RAIM per due differenti configurazioni: una configurazioni in cui si fa uso di sole misure GPS e una configurazione in cui sono utilizzate le misure effettuate da entrambi i sistemi GPS e GLONASS. Lo studio delle prestazioni dell’algoritmo proposto fa uso di dati di una stazione fissa collocata in ambiente urbano particolarmente ostile, la cui posizione è nota con precisione millimetrica.</t>
        </is>
      </c>
      <c r="U140" s="2" t="inlineStr">
        <is>
          <t>eng</t>
        </is>
      </c>
      <c r="V140" s="2" t="inlineStr">
        <is>
          <t>drupal</t>
        </is>
      </c>
      <c r="W140" s="2" t="inlineStr">
        <is>
          <t>71</t>
        </is>
      </c>
      <c r="X140" s="2" t="inlineStr">
        <is>
          <t>1</t>
        </is>
      </c>
      <c r="Y140" s="2" t="inlineStr">
        <is>
          <t>yes</t>
        </is>
      </c>
      <c r="Z140" s="2" t="inlineStr">
        <is>
          <t>missing_doi</t>
        </is>
      </c>
      <c r="AA140" s="2" t="inlineStr"/>
      <c r="AB140" s="2" t="inlineStr">
        <is>
          <t>legacy_drupal_historical</t>
        </is>
      </c>
      <c r="AC140" s="2" t="inlineStr"/>
    </row>
    <row r="141">
      <c r="A141" s="2" t="inlineStr">
        <is>
          <t>drupal-37</t>
        </is>
      </c>
      <c r="B141" s="2" t="inlineStr">
        <is>
          <t>2011</t>
        </is>
      </c>
      <c r="C141" s="2" t="inlineStr"/>
      <c r="D141" s="2" t="inlineStr">
        <is>
          <t>A stochastic sigma model for GLONASS satellite pseudorange</t>
        </is>
      </c>
      <c r="E141" s="2" t="inlineStr">
        <is>
          <t>Antonio Angrisano; Salvatore Gaglione; Giovanni Pugliano; R Robustelli; R Santamaria; Mario Vultaggio</t>
        </is>
      </c>
      <c r="F141" s="2" t="inlineStr">
        <is>
          <t>Salvatore Gaglione</t>
        </is>
      </c>
      <c r="G141" s="2" t="inlineStr">
        <is>
          <t>Journal Article</t>
        </is>
      </c>
      <c r="H141" s="2" t="inlineStr">
        <is>
          <t>APPLIED GEOMATICS</t>
        </is>
      </c>
      <c r="I141" s="2" t="inlineStr"/>
      <c r="J141" s="2" t="inlineStr"/>
      <c r="K141" s="2" t="inlineStr"/>
      <c r="L141" s="2" t="inlineStr">
        <is>
          <t>3</t>
        </is>
      </c>
      <c r="M141" s="2" t="inlineStr"/>
      <c r="N141" s="2" t="inlineStr">
        <is>
          <t>–</t>
        </is>
      </c>
      <c r="O141" s="2" t="inlineStr">
        <is>
          <t>10.1007/ s12518-011-0046-0</t>
        </is>
      </c>
      <c r="P141" s="2" t="inlineStr">
        <is>
          <t>10.1007/s12518-011-0046-0</t>
        </is>
      </c>
      <c r="Q141" s="2" t="inlineStr">
        <is>
          <t>1866-9298</t>
        </is>
      </c>
      <c r="R141" s="2" t="inlineStr"/>
      <c r="S141" s="2" t="inlineStr">
        <is>
          <t>http://dx.medra.org/10.1007/ s12518-011-0046-0</t>
        </is>
      </c>
      <c r="T141" s="2" t="inlineStr"/>
      <c r="U141" s="2" t="inlineStr">
        <is>
          <t>eng</t>
        </is>
      </c>
      <c r="V141" s="2" t="inlineStr">
        <is>
          <t>drupal</t>
        </is>
      </c>
      <c r="W141" s="2" t="inlineStr">
        <is>
          <t>37</t>
        </is>
      </c>
      <c r="X141" s="2" t="inlineStr">
        <is>
          <t>1</t>
        </is>
      </c>
      <c r="Y141" s="2" t="inlineStr">
        <is>
          <t>yes</t>
        </is>
      </c>
      <c r="Z141" s="2" t="inlineStr">
        <is>
          <t>doi_normalized</t>
        </is>
      </c>
      <c r="AA141" s="2" t="inlineStr"/>
      <c r="AB141" s="2" t="inlineStr">
        <is>
          <t>legacy_drupal_historical</t>
        </is>
      </c>
      <c r="AC141" s="2" t="inlineStr"/>
    </row>
    <row r="142">
      <c r="A142" s="2" t="inlineStr">
        <is>
          <t>drupal-62</t>
        </is>
      </c>
      <c r="B142" s="2" t="inlineStr">
        <is>
          <t>2011</t>
        </is>
      </c>
      <c r="C142" s="2" t="inlineStr">
        <is>
          <t>12/2011</t>
        </is>
      </c>
      <c r="D142" s="2" t="inlineStr">
        <is>
          <t>Algorithms for GNSS Positioning in Difficult Scenario</t>
        </is>
      </c>
      <c r="E142" s="2" t="inlineStr">
        <is>
          <t>Antonio Angrisano; Salvatore Gaglione; Ciro Gioia; Umberto Robustelli; Mario Vultaggio</t>
        </is>
      </c>
      <c r="F142" s="2" t="inlineStr">
        <is>
          <t>Salvatore Gaglione</t>
        </is>
      </c>
      <c r="G142" s="2" t="inlineStr">
        <is>
          <t>Conference Paper</t>
        </is>
      </c>
      <c r="H142" s="2" t="inlineStr">
        <is>
          <t>ENC 2011</t>
        </is>
      </c>
      <c r="I142" s="2" t="inlineStr"/>
      <c r="J142" s="2" t="inlineStr"/>
      <c r="K142" s="2" t="inlineStr">
        <is>
          <t>London</t>
        </is>
      </c>
      <c r="L142" s="2" t="inlineStr"/>
      <c r="M142" s="2" t="inlineStr"/>
      <c r="N142" s="2" t="inlineStr"/>
      <c r="O142" s="2" t="inlineStr"/>
      <c r="P142" s="2" t="inlineStr"/>
      <c r="Q142" s="2" t="inlineStr"/>
      <c r="R142" s="2" t="inlineStr"/>
      <c r="S142" s="2" t="inlineStr"/>
      <c r="T142" s="2" t="inlineStr">
        <is>
          <t>Satellite navigation is critical in signal-degraded environments such as urban canyons and mountainous area, where many GNSS signals are blocked by natural and artificial obstacles or are strongly degraded. Hence standalone GPS is often unable to guarantee a continuous and accurate positioning. A suitable approach could be the integration of several GNSS. Multi-constellation system guarantees an improved satellite availability with respect to GPS standalone, providing a positioning enhancement in terms of accuracy, continuity and integrity. Currently the ideal candidate for supplement GPS in a multi-constellation approach is the Russian GLONASS. The main purposes of this work are the performance assessment of a GNSS multi-constellation relative to GPS stand-alone and the comparison of Least Squares and Kalman Filter.</t>
        </is>
      </c>
      <c r="U142" s="2" t="inlineStr">
        <is>
          <t>eng</t>
        </is>
      </c>
      <c r="V142" s="2" t="inlineStr">
        <is>
          <t>drupal</t>
        </is>
      </c>
      <c r="W142" s="2" t="inlineStr">
        <is>
          <t>62</t>
        </is>
      </c>
      <c r="X142" s="2" t="inlineStr">
        <is>
          <t>1</t>
        </is>
      </c>
      <c r="Y142" s="2" t="inlineStr">
        <is>
          <t>yes</t>
        </is>
      </c>
      <c r="Z142" s="2" t="inlineStr">
        <is>
          <t>missing_doi</t>
        </is>
      </c>
      <c r="AA142" s="2" t="inlineStr"/>
      <c r="AB142" s="2" t="inlineStr">
        <is>
          <t>legacy_drupal_historical</t>
        </is>
      </c>
      <c r="AC142" s="2" t="inlineStr"/>
    </row>
    <row r="143">
      <c r="A143" s="2" t="inlineStr">
        <is>
          <t>drupal-36</t>
        </is>
      </c>
      <c r="B143" s="2" t="inlineStr">
        <is>
          <t>2011</t>
        </is>
      </c>
      <c r="C143" s="2" t="inlineStr"/>
      <c r="D143" s="2" t="inlineStr">
        <is>
          <t>Analisi del Posizionamento assoluto GPS e GNSS in ambiente urbano</t>
        </is>
      </c>
      <c r="E143" s="2" t="inlineStr">
        <is>
          <t>Antonio Angrisano; Salvatore Gaglione; Ciro Gioia; Umberto Robustelli; R Santamaria</t>
        </is>
      </c>
      <c r="F143" s="2" t="inlineStr">
        <is>
          <t>Salvatore Gaglione</t>
        </is>
      </c>
      <c r="G143" s="2" t="inlineStr">
        <is>
          <t>Journal Article</t>
        </is>
      </c>
      <c r="H143" s="2" t="inlineStr">
        <is>
          <t>BOLLETTINO DELLA SOCIETÀ ITALIANA DI FOTOGRAMMETRIA E TOPOGRAFIA</t>
        </is>
      </c>
      <c r="I143" s="2" t="inlineStr"/>
      <c r="J143" s="2" t="inlineStr"/>
      <c r="K143" s="2" t="inlineStr"/>
      <c r="L143" s="2" t="inlineStr">
        <is>
          <t>3</t>
        </is>
      </c>
      <c r="M143" s="2" t="inlineStr"/>
      <c r="N143" s="2" t="inlineStr">
        <is>
          <t>23–42</t>
        </is>
      </c>
      <c r="O143" s="2" t="inlineStr"/>
      <c r="P143" s="2" t="inlineStr"/>
      <c r="Q143" s="2" t="inlineStr">
        <is>
          <t>1721-971X</t>
        </is>
      </c>
      <c r="R143" s="2" t="inlineStr"/>
      <c r="S143" s="2" t="inlineStr"/>
      <c r="T143" s="2" t="inlineStr"/>
      <c r="U143" s="2" t="inlineStr">
        <is>
          <t>eng</t>
        </is>
      </c>
      <c r="V143" s="2" t="inlineStr">
        <is>
          <t>drupal</t>
        </is>
      </c>
      <c r="W143" s="2" t="inlineStr">
        <is>
          <t>36</t>
        </is>
      </c>
      <c r="X143" s="2" t="inlineStr">
        <is>
          <t>1</t>
        </is>
      </c>
      <c r="Y143" s="2" t="inlineStr">
        <is>
          <t>yes</t>
        </is>
      </c>
      <c r="Z143" s="2" t="inlineStr">
        <is>
          <t>missing_doi</t>
        </is>
      </c>
      <c r="AA143" s="2" t="inlineStr"/>
      <c r="AB143" s="2" t="inlineStr">
        <is>
          <t>legacy_drupal_historical</t>
        </is>
      </c>
      <c r="AC143" s="2" t="inlineStr"/>
    </row>
    <row r="144">
      <c r="A144" s="2" t="inlineStr">
        <is>
          <t>drupal-70</t>
        </is>
      </c>
      <c r="B144" s="2" t="inlineStr">
        <is>
          <t>2011</t>
        </is>
      </c>
      <c r="C144" s="2" t="inlineStr"/>
      <c r="D144" s="2" t="inlineStr">
        <is>
          <t>Confronto tra Modelli Ionosferici nel Posizionamento GNSS in Singola Frequenza</t>
        </is>
      </c>
      <c r="E144" s="2" t="inlineStr">
        <is>
          <t>Marco Massaro</t>
        </is>
      </c>
      <c r="F144" s="2" t="inlineStr"/>
      <c r="G144" s="2" t="inlineStr">
        <is>
          <t>Thesis</t>
        </is>
      </c>
      <c r="H144" s="2" t="inlineStr">
        <is>
          <t>Dipartimento di Scienze Applicate</t>
        </is>
      </c>
      <c r="I144" s="2" t="inlineStr"/>
      <c r="J144" s="2" t="inlineStr">
        <is>
          <t>Parthenope</t>
        </is>
      </c>
      <c r="K144" s="2" t="inlineStr">
        <is>
          <t>Naples</t>
        </is>
      </c>
      <c r="L144" s="2" t="inlineStr">
        <is>
          <t>MSc</t>
        </is>
      </c>
      <c r="M144" s="2" t="inlineStr"/>
      <c r="N144" s="2" t="inlineStr"/>
      <c r="O144" s="2" t="inlineStr"/>
      <c r="P144" s="2" t="inlineStr"/>
      <c r="Q144" s="2" t="inlineStr"/>
      <c r="R144" s="2" t="inlineStr"/>
      <c r="S144" s="2" t="inlineStr"/>
      <c r="T144" s="2" t="inlineStr"/>
      <c r="U144" s="2" t="inlineStr">
        <is>
          <t>eng</t>
        </is>
      </c>
      <c r="V144" s="2" t="inlineStr">
        <is>
          <t>drupal</t>
        </is>
      </c>
      <c r="W144" s="2" t="inlineStr">
        <is>
          <t>70</t>
        </is>
      </c>
      <c r="X144" s="2" t="inlineStr">
        <is>
          <t>1</t>
        </is>
      </c>
      <c r="Y144" s="2" t="inlineStr">
        <is>
          <t>yes</t>
        </is>
      </c>
      <c r="Z144" s="2" t="inlineStr">
        <is>
          <t>missing_doi</t>
        </is>
      </c>
      <c r="AA144" s="2" t="inlineStr"/>
      <c r="AB144" s="2" t="inlineStr">
        <is>
          <t>legacy_drupal_historical</t>
        </is>
      </c>
      <c r="AC144" s="2" t="inlineStr"/>
    </row>
    <row r="145">
      <c r="A145" s="2" t="inlineStr">
        <is>
          <t>drupal-67</t>
        </is>
      </c>
      <c r="B145" s="2" t="inlineStr">
        <is>
          <t>2011</t>
        </is>
      </c>
      <c r="C145" s="2" t="inlineStr"/>
      <c r="D145" s="2" t="inlineStr">
        <is>
          <t>GNSS/INS Integration Methods</t>
        </is>
      </c>
      <c r="E145" s="2" t="inlineStr">
        <is>
          <t>Antonio Angrisano</t>
        </is>
      </c>
      <c r="F145" s="2" t="inlineStr"/>
      <c r="G145" s="2" t="inlineStr">
        <is>
          <t>Thesis</t>
        </is>
      </c>
      <c r="H145" s="2" t="inlineStr">
        <is>
          <t>Department of Applied Sciences</t>
        </is>
      </c>
      <c r="I145" s="2" t="inlineStr"/>
      <c r="J145" s="2" t="inlineStr">
        <is>
          <t>Parthenope</t>
        </is>
      </c>
      <c r="K145" s="2" t="inlineStr">
        <is>
          <t>Naples</t>
        </is>
      </c>
      <c r="L145" s="2" t="inlineStr">
        <is>
          <t>PhD</t>
        </is>
      </c>
      <c r="M145" s="2" t="inlineStr"/>
      <c r="N145" s="2" t="inlineStr"/>
      <c r="O145" s="2" t="inlineStr"/>
      <c r="P145" s="2" t="inlineStr"/>
      <c r="Q145" s="2" t="inlineStr"/>
      <c r="R145" s="2" t="inlineStr"/>
      <c r="S145" s="2" t="inlineStr"/>
      <c r="T145" s="2" t="inlineStr">
        <is>
          <t>In critical locations such as urban or mountainous areas satellite navigation is difficult, above all due to the signal blocking problem; for this reason satellite systems are often integrated with inertial sensors, owing to their complementary features. A common configuration includes a GPS receiver and a high-precision inertial sensor, able to provide navigation information during GPS gaps. Nowadays the low cost inertial sensors with small size and weight and poor accuracy are developing and their use as part of integrated navigation systems in difficult environments is under investigation. On the other hand the recent enhancement of GLONASS satellite system suggests the combined use with GPS in order to increase the satellite availability as well as position accuracy; this can be especially useful in places with lack of GPS signals. This study is to assess the effectiveness of the integration of GPS/GLONASS with low cost inertial sensors in pedestrian and vehicular urban navigation and to investigate methods to improve its performance. The Extended Kalman filter is used to merge the satellite and inertial information and the loosely and tightly coupled integration strategies are adopted; their performances comparison in difficult areas is one of the main objectives of this work. Generally the tight coupling is more used in urban or natural canyons because it can provide an integrated navigation solution also with less than four satellites (minimum number of satellites necessary for a GPS only positioning); the inclusion of GLONASS satellites in this context may change significantly the role of loosely coupling in urban navigation. In this work pseudorange and Doppler measurements are processed in single point mode; hence no differential processing is performed and no base station is necessary. For bounding the MEMS INS errors during GPS/GLONASS outages, the use of motion constraints is introduced and evaluated. To carry out the analysis a complete navigation software has been developed in Matlab environment. The results show that the integration of GPS/INS provides satisfying performance only in good visibility conditions in both loose and tight architectures, while during GPS outages (longer than few seconds) very large errors are experienced; including GLONASS in GPS/INS integration produces significant solution improvements. As expected the tight integration shows better performance during GNSS outages, but the results obtained with GPS/INS integration in tight architecture and 3 GPS/GLONASS/INS integration in loose approach are often similar, suggesting the use of the latter configuration owing to its relatively simple implementation. The motion constraints provide remarkable enhancements of the navigation solution, with RMS position error of a few meters in difficult urban canyons for both loose and tight architectures.</t>
        </is>
      </c>
      <c r="U145" s="2" t="inlineStr">
        <is>
          <t>eng</t>
        </is>
      </c>
      <c r="V145" s="2" t="inlineStr">
        <is>
          <t>drupal</t>
        </is>
      </c>
      <c r="W145" s="2" t="inlineStr">
        <is>
          <t>67</t>
        </is>
      </c>
      <c r="X145" s="2" t="inlineStr">
        <is>
          <t>1</t>
        </is>
      </c>
      <c r="Y145" s="2" t="inlineStr">
        <is>
          <t>yes</t>
        </is>
      </c>
      <c r="Z145" s="2" t="inlineStr">
        <is>
          <t>missing_doi</t>
        </is>
      </c>
      <c r="AA145" s="2" t="inlineStr"/>
      <c r="AB145" s="2" t="inlineStr">
        <is>
          <t>legacy_drupal_historical</t>
        </is>
      </c>
      <c r="AC145" s="2" t="inlineStr"/>
    </row>
    <row r="146">
      <c r="A146" s="2" t="inlineStr">
        <is>
          <t>drupal-64</t>
        </is>
      </c>
      <c r="B146" s="2" t="inlineStr">
        <is>
          <t>2011</t>
        </is>
      </c>
      <c r="C146" s="2" t="inlineStr">
        <is>
          <t>12/2011</t>
        </is>
      </c>
      <c r="D146" s="2" t="inlineStr">
        <is>
          <t>Ionospheric models comparison for single-frequency GNSS positioning</t>
        </is>
      </c>
      <c r="E146" s="2" t="inlineStr">
        <is>
          <t>Antonio Angrisano; Salvatore Gaglione; Ciro Gioia; Marco Massaro; Umberto Robustelli; R Santamaria</t>
        </is>
      </c>
      <c r="F146" s="2" t="inlineStr">
        <is>
          <t>Salvatore Gaglione</t>
        </is>
      </c>
      <c r="G146" s="2" t="inlineStr">
        <is>
          <t>Conference Paper</t>
        </is>
      </c>
      <c r="H146" s="2" t="inlineStr">
        <is>
          <t>ENC 2011</t>
        </is>
      </c>
      <c r="I146" s="2" t="inlineStr"/>
      <c r="J146" s="2" t="inlineStr"/>
      <c r="K146" s="2" t="inlineStr"/>
      <c r="L146" s="2" t="inlineStr"/>
      <c r="M146" s="2" t="inlineStr"/>
      <c r="N146" s="2" t="inlineStr"/>
      <c r="O146" s="2" t="inlineStr"/>
      <c r="P146" s="2" t="inlineStr"/>
      <c r="Q146" s="2" t="inlineStr"/>
      <c r="R146" s="2" t="inlineStr"/>
      <c r="S146" s="2" t="inlineStr"/>
      <c r="T146" s="2" t="inlineStr">
        <is>
          <t>Broadcast Ionospheric Correction Algorithms (ICA) are used in Global Navigation Satellite System (GNSS) single frequency receivers positioning to compute the satellite signal delay due to the propagation through ionosphere. In this paper two ionospheric models are considered: Klobuchar model used by the U.S. Global Positioning System (GPS) and NeQuick model adopted by the European Galileo system. The goal of this paper is to investigate the validity and efficiency of the examined models by analyzing their performances in single frequency GNSS receiver</t>
        </is>
      </c>
      <c r="U146" s="2" t="inlineStr">
        <is>
          <t>eng</t>
        </is>
      </c>
      <c r="V146" s="2" t="inlineStr">
        <is>
          <t>drupal</t>
        </is>
      </c>
      <c r="W146" s="2" t="inlineStr">
        <is>
          <t>64</t>
        </is>
      </c>
      <c r="X146" s="2" t="inlineStr">
        <is>
          <t>1</t>
        </is>
      </c>
      <c r="Y146" s="2" t="inlineStr">
        <is>
          <t>yes</t>
        </is>
      </c>
      <c r="Z146" s="2" t="inlineStr">
        <is>
          <t>missing_doi</t>
        </is>
      </c>
      <c r="AA146" s="2" t="inlineStr"/>
      <c r="AB146" s="2" t="inlineStr">
        <is>
          <t>legacy_drupal_historical</t>
        </is>
      </c>
      <c r="AC146" s="2" t="inlineStr"/>
    </row>
    <row r="147">
      <c r="A147" s="2" t="inlineStr">
        <is>
          <t>drupal-68</t>
        </is>
      </c>
      <c r="B147" s="2" t="inlineStr">
        <is>
          <t>2011</t>
        </is>
      </c>
      <c r="C147" s="2" t="inlineStr"/>
      <c r="D147" s="2" t="inlineStr">
        <is>
          <t>Posizionamento Doppler con osservabili GPS: una metodologia alternativa</t>
        </is>
      </c>
      <c r="E147" s="2" t="inlineStr">
        <is>
          <t>A De Simone</t>
        </is>
      </c>
      <c r="F147" s="2" t="inlineStr"/>
      <c r="G147" s="2" t="inlineStr">
        <is>
          <t>Thesis</t>
        </is>
      </c>
      <c r="H147" s="2" t="inlineStr">
        <is>
          <t>Dipartimento di Scienze Applicate</t>
        </is>
      </c>
      <c r="I147" s="2" t="inlineStr"/>
      <c r="J147" s="2" t="inlineStr">
        <is>
          <t>Parthenope</t>
        </is>
      </c>
      <c r="K147" s="2" t="inlineStr">
        <is>
          <t>Naples</t>
        </is>
      </c>
      <c r="L147" s="2" t="inlineStr">
        <is>
          <t>MSc</t>
        </is>
      </c>
      <c r="M147" s="2" t="inlineStr"/>
      <c r="N147" s="2" t="inlineStr"/>
      <c r="O147" s="2" t="inlineStr"/>
      <c r="P147" s="2" t="inlineStr"/>
      <c r="Q147" s="2" t="inlineStr"/>
      <c r="R147" s="2" t="inlineStr"/>
      <c r="S147" s="2" t="inlineStr"/>
      <c r="T147" s="2" t="inlineStr">
        <is>
          <t>Il sistema GPS fornisce informazioni di posizione, velocità e sincronizzazione temporale su scala globale con continuità e accuratezza solo in caso di buone condizioni di intervisibilità ricevitore-satelliti. In scenari urbani o indoor la navigazione satellitare risulta particolarmente critica per la carenza o il degrado dei segnali GPS, dovuta alla presenza di ostacoli che bloccano o disturbano i segnali elettromagnetici. In ambienti particolarmente ostili risulta difficile la demodulazione del messaggio di navigazione e dei ranging code rendendo il posizionamento assoluto con misure di pseudorange (single point positioning) poco accurato o discontinuo; in tali condizioni la misura della frequenza del segnale (e dunque lo shift Doppler) e l‟individuazione del satellite di provenienza potrebbero essere le sole informazioni disponibili. I sistemi Assisted-GNSS sono in grado di ottenere le effemeridi dei satelliti della costellazione attraverso la rete cellulare; con tali informazioni ed elaborando opportunamente l‟osservabile Doppler è possibile una stima della posizione del mobile. Lo scopo principale di questo lavoro è testare algoritmi innovativi per il posizionamento Doppler in modalità single point, sia in modalità statica che cinematica. Tali algoritmi necessitano la conoscenza della velocità del ricevitore GPS. Nel caso statico la velocità è nota, mentre nel caso cinematico è stimata adottando una tecnica di calcolo basata sull‟utilizzo delle stesse misure Doppler.</t>
        </is>
      </c>
      <c r="U147" s="2" t="inlineStr">
        <is>
          <t>eng</t>
        </is>
      </c>
      <c r="V147" s="2" t="inlineStr">
        <is>
          <t>drupal</t>
        </is>
      </c>
      <c r="W147" s="2" t="inlineStr">
        <is>
          <t>68</t>
        </is>
      </c>
      <c r="X147" s="2" t="inlineStr">
        <is>
          <t>1</t>
        </is>
      </c>
      <c r="Y147" s="2" t="inlineStr">
        <is>
          <t>yes</t>
        </is>
      </c>
      <c r="Z147" s="2" t="inlineStr">
        <is>
          <t>missing_doi</t>
        </is>
      </c>
      <c r="AA147" s="2" t="inlineStr"/>
      <c r="AB147" s="2" t="inlineStr">
        <is>
          <t>legacy_drupal_historical</t>
        </is>
      </c>
      <c r="AC147" s="2" t="inlineStr"/>
    </row>
    <row r="148">
      <c r="A148" s="2" t="inlineStr">
        <is>
          <t>drupal-35</t>
        </is>
      </c>
      <c r="B148" s="2" t="inlineStr">
        <is>
          <t>2011</t>
        </is>
      </c>
      <c r="C148" s="2" t="inlineStr">
        <is>
          <t>27-29 April</t>
        </is>
      </c>
      <c r="D148" s="2" t="inlineStr">
        <is>
          <t>The Satellite Positioning Evolution in Coastal Processes</t>
        </is>
      </c>
      <c r="E148" s="2" t="inlineStr">
        <is>
          <t>Antonio Angrisano; Salvatore Gaglione; Ciro Gioia; Mario Vultaggio</t>
        </is>
      </c>
      <c r="F148" s="2" t="inlineStr">
        <is>
          <t>Salvatore Gaglione</t>
        </is>
      </c>
      <c r="G148" s="2" t="inlineStr">
        <is>
          <t>Conference Paper</t>
        </is>
      </c>
      <c r="H148" s="2" t="inlineStr">
        <is>
          <t>Coastal Process II</t>
        </is>
      </c>
      <c r="I148" s="2" t="inlineStr"/>
      <c r="J148" s="2" t="inlineStr">
        <is>
          <t>WIT Press</t>
        </is>
      </c>
      <c r="K148" s="2" t="inlineStr">
        <is>
          <t>SOUTHAMPTON – GBR</t>
        </is>
      </c>
      <c r="L148" s="2" t="inlineStr"/>
      <c r="M148" s="2" t="inlineStr"/>
      <c r="N148" s="2" t="inlineStr"/>
      <c r="O148" s="2" t="inlineStr"/>
      <c r="P148" s="2" t="inlineStr"/>
      <c r="Q148" s="2" t="inlineStr"/>
      <c r="R148" s="2" t="inlineStr"/>
      <c r="S148" s="2" t="inlineStr"/>
      <c r="T148" s="2" t="inlineStr"/>
      <c r="U148" s="2" t="inlineStr">
        <is>
          <t>eng</t>
        </is>
      </c>
      <c r="V148" s="2" t="inlineStr">
        <is>
          <t>drupal</t>
        </is>
      </c>
      <c r="W148" s="2" t="inlineStr">
        <is>
          <t>35</t>
        </is>
      </c>
      <c r="X148" s="2" t="inlineStr">
        <is>
          <t>1</t>
        </is>
      </c>
      <c r="Y148" s="2" t="inlineStr">
        <is>
          <t>yes</t>
        </is>
      </c>
      <c r="Z148" s="2" t="inlineStr">
        <is>
          <t>missing_doi</t>
        </is>
      </c>
      <c r="AA148" s="2" t="inlineStr"/>
      <c r="AB148" s="2" t="inlineStr">
        <is>
          <t>legacy_drupal_historical</t>
        </is>
      </c>
      <c r="AC148" s="2" t="inlineStr"/>
    </row>
    <row r="149">
      <c r="A149" s="2" t="inlineStr">
        <is>
          <t>drupal-83</t>
        </is>
      </c>
      <c r="B149" s="2" t="inlineStr">
        <is>
          <t>2011</t>
        </is>
      </c>
      <c r="C149" s="2" t="inlineStr"/>
      <c r="D149" s="2" t="inlineStr">
        <is>
          <t>The Satellite Positioning Evolution in Coastal Processes</t>
        </is>
      </c>
      <c r="E149" s="2" t="inlineStr">
        <is>
          <t>Antonio Angrisano; Salvatore Gaglione; Ciro Gioia</t>
        </is>
      </c>
      <c r="F149" s="2" t="inlineStr">
        <is>
          <t>Salvatore Gaglione</t>
        </is>
      </c>
      <c r="G149" s="2" t="inlineStr">
        <is>
          <t>Journal Article</t>
        </is>
      </c>
      <c r="H149" s="2" t="inlineStr">
        <is>
          <t>Coastal Process II</t>
        </is>
      </c>
      <c r="I149" s="2" t="inlineStr"/>
      <c r="J149" s="2" t="inlineStr"/>
      <c r="K149" s="2" t="inlineStr"/>
      <c r="L149" s="2" t="inlineStr"/>
      <c r="M149" s="2" t="inlineStr"/>
      <c r="N149" s="2" t="inlineStr"/>
      <c r="O149" s="2" t="inlineStr"/>
      <c r="P149" s="2" t="inlineStr"/>
      <c r="Q149" s="2" t="inlineStr"/>
      <c r="R149" s="2" t="inlineStr">
        <is>
          <t>978-1-84564-534-2</t>
        </is>
      </c>
      <c r="S149" s="2" t="inlineStr"/>
      <c r="T149" s="2" t="inlineStr"/>
      <c r="U149" s="2" t="inlineStr">
        <is>
          <t>eng</t>
        </is>
      </c>
      <c r="V149" s="2" t="inlineStr">
        <is>
          <t>drupal</t>
        </is>
      </c>
      <c r="W149" s="2" t="inlineStr">
        <is>
          <t>83</t>
        </is>
      </c>
      <c r="X149" s="2" t="inlineStr">
        <is>
          <t>1</t>
        </is>
      </c>
      <c r="Y149" s="2" t="inlineStr">
        <is>
          <t>yes</t>
        </is>
      </c>
      <c r="Z149" s="2" t="inlineStr">
        <is>
          <t>missing_doi</t>
        </is>
      </c>
      <c r="AA149" s="2" t="inlineStr"/>
      <c r="AB149" s="2" t="inlineStr">
        <is>
          <t>legacy_drupal_historical</t>
        </is>
      </c>
      <c r="AC149" s="2" t="inlineStr"/>
    </row>
    <row r="150">
      <c r="A150" s="2" t="inlineStr">
        <is>
          <t>drupal-61</t>
        </is>
      </c>
      <c r="B150" s="2" t="inlineStr">
        <is>
          <t>2010</t>
        </is>
      </c>
      <c r="C150" s="2" t="inlineStr">
        <is>
          <t>09/2010</t>
        </is>
      </c>
      <c r="D150" s="2" t="inlineStr">
        <is>
          <t>GNSS INS Integration in Vehicular Urban Navigation</t>
        </is>
      </c>
      <c r="E150" s="2" t="inlineStr">
        <is>
          <t>Antonio Angrisano; M Petovello; Giovanni Pugliano</t>
        </is>
      </c>
      <c r="F150" s="2" t="inlineStr"/>
      <c r="G150" s="2" t="inlineStr">
        <is>
          <t>Conference Paper</t>
        </is>
      </c>
      <c r="H150" s="2" t="inlineStr">
        <is>
          <t>GNSS ION 2010</t>
        </is>
      </c>
      <c r="I150" s="2" t="inlineStr"/>
      <c r="J150" s="2" t="inlineStr"/>
      <c r="K150" s="2" t="inlineStr">
        <is>
          <t>PORTLAND, OR</t>
        </is>
      </c>
      <c r="L150" s="2" t="inlineStr"/>
      <c r="M150" s="2" t="inlineStr"/>
      <c r="N150" s="2" t="inlineStr"/>
      <c r="O150" s="2" t="inlineStr"/>
      <c r="P150" s="2" t="inlineStr"/>
      <c r="Q150" s="2" t="inlineStr"/>
      <c r="R150" s="2" t="inlineStr"/>
      <c r="S150" s="2" t="inlineStr"/>
      <c r="T150" s="2" t="inlineStr">
        <is>
          <t>In critical locations as urban or mountainous areas satellite navigation is difficult, above all due to the signal blocking problem; for this reason satellite systems are often integrated with inertial sensors, owing to their complementary features. A common configuration includes GPS receiver and an high-precision inertial sensor, a Nowadays the low cost inertial sensors with small size and weight and poor accuracy are developing and their use as part of integrated navigation On the other hand the recent enhancement of GLONASS satellite system suggests the combined use with GPS in order to increase the satellite availability; this ca This study purpose is to assess the effectiveness of the integration of GPS/GLONASS with The Extended Kalman filter is used to merge the satellite and inertial information and the loosely and tightly coupled architectures are the integration strategies adopted; their performances comparison in difficult areas is one of the main purpose. Generally the tight coupling is more used in urban or natural canyons because it can provide an integrated navigation solution also with less than four satellites (minimum number of satellites necessary for a GPS only positioning); the inclusion of GLONASS satellites in this context may change significantly the role of loosely coupling in urban navigation. In this work pseudorange and Doppler measurements are processed in single point mode; hence no differential processing is performed and no base station is necessary.</t>
        </is>
      </c>
      <c r="U150" s="2" t="inlineStr">
        <is>
          <t>eng</t>
        </is>
      </c>
      <c r="V150" s="2" t="inlineStr">
        <is>
          <t>drupal</t>
        </is>
      </c>
      <c r="W150" s="2" t="inlineStr">
        <is>
          <t>61</t>
        </is>
      </c>
      <c r="X150" s="2" t="inlineStr">
        <is>
          <t>1</t>
        </is>
      </c>
      <c r="Y150" s="2" t="inlineStr">
        <is>
          <t>yes</t>
        </is>
      </c>
      <c r="Z150" s="2" t="inlineStr">
        <is>
          <t>missing_doi</t>
        </is>
      </c>
      <c r="AA150" s="2" t="inlineStr"/>
      <c r="AB150" s="2" t="inlineStr">
        <is>
          <t>legacy_drupal_historical</t>
        </is>
      </c>
      <c r="AC150" s="2" t="inlineStr"/>
    </row>
    <row r="151">
      <c r="A151" s="2" t="inlineStr">
        <is>
          <t>drupal-217</t>
        </is>
      </c>
      <c r="B151" s="2" t="inlineStr">
        <is>
          <t>2010</t>
        </is>
      </c>
      <c r="C151" s="2" t="inlineStr"/>
      <c r="D151" s="2" t="inlineStr">
        <is>
          <t>On the influence of the warping shear stress on the hull girder strength</t>
        </is>
      </c>
      <c r="E151" s="2" t="inlineStr">
        <is>
          <t>A. Campanile; M. Mandarino; Vincenzo Piscopo</t>
        </is>
      </c>
      <c r="F151" s="2" t="inlineStr">
        <is>
          <t>Vincenzo Piscopo</t>
        </is>
      </c>
      <c r="G151" s="2" t="inlineStr">
        <is>
          <t>Journal Article</t>
        </is>
      </c>
      <c r="H151" s="2" t="inlineStr">
        <is>
          <t>Journal of Ship Research</t>
        </is>
      </c>
      <c r="I151" s="2" t="inlineStr"/>
      <c r="J151" s="2" t="inlineStr"/>
      <c r="K151" s="2" t="inlineStr"/>
      <c r="L151" s="2" t="inlineStr">
        <is>
          <t>54</t>
        </is>
      </c>
      <c r="M151" s="2" t="inlineStr"/>
      <c r="N151" s="2" t="inlineStr">
        <is>
          <t>231-243</t>
        </is>
      </c>
      <c r="O151" s="2" t="inlineStr"/>
      <c r="P151" s="2" t="inlineStr"/>
      <c r="Q151" s="2" t="inlineStr"/>
      <c r="R151" s="2" t="inlineStr"/>
      <c r="S151" s="2" t="inlineStr">
        <is>
          <t>https://www.scopus.com/inward/record.uri?eid=2-s2.0-78649581233&amp;partnerID=40&amp;md5=cc19afb7a0d21d8d09620953a3f06a10</t>
        </is>
      </c>
      <c r="T151" s="2" t="inlineStr"/>
      <c r="U151" s="2" t="inlineStr">
        <is>
          <t>eng</t>
        </is>
      </c>
      <c r="V151" s="2" t="inlineStr">
        <is>
          <t>drupal</t>
        </is>
      </c>
      <c r="W151" s="2" t="inlineStr">
        <is>
          <t>217</t>
        </is>
      </c>
      <c r="X151" s="2" t="inlineStr">
        <is>
          <t>1</t>
        </is>
      </c>
      <c r="Y151" s="2" t="inlineStr">
        <is>
          <t>yes</t>
        </is>
      </c>
      <c r="Z151" s="2" t="inlineStr">
        <is>
          <t>missing_doi</t>
        </is>
      </c>
      <c r="AA151" s="2" t="inlineStr"/>
      <c r="AB151" s="2" t="inlineStr">
        <is>
          <t>legacy_drupal_historical</t>
        </is>
      </c>
      <c r="AC151" s="2" t="inlineStr"/>
    </row>
    <row r="152">
      <c r="A152" s="2" t="inlineStr">
        <is>
          <t>drupal-38</t>
        </is>
      </c>
      <c r="B152" s="2" t="inlineStr">
        <is>
          <t>2010</t>
        </is>
      </c>
      <c r="C152" s="2" t="inlineStr"/>
      <c r="D152" s="2" t="inlineStr">
        <is>
          <t>Space-Based Augmentation for Integrity Improvement</t>
        </is>
      </c>
      <c r="E152" s="2" t="inlineStr">
        <is>
          <t>Antonio Angrisano; Salvatore Gaglione; Ciro Gioia; Umberto Robustelli</t>
        </is>
      </c>
      <c r="F152" s="2" t="inlineStr">
        <is>
          <t>Salvatore Gaglione</t>
        </is>
      </c>
      <c r="G152" s="2" t="inlineStr">
        <is>
          <t>Journal Article</t>
        </is>
      </c>
      <c r="H152" s="2" t="inlineStr">
        <is>
          <t>ANNALI DELLA FACOLTÀ DI SCIENZE E TECNOLOGIE</t>
        </is>
      </c>
      <c r="I152" s="2" t="inlineStr"/>
      <c r="J152" s="2" t="inlineStr"/>
      <c r="K152" s="2" t="inlineStr"/>
      <c r="L152" s="2" t="inlineStr">
        <is>
          <t>70</t>
        </is>
      </c>
      <c r="M152" s="2" t="inlineStr"/>
      <c r="N152" s="2" t="inlineStr">
        <is>
          <t>–</t>
        </is>
      </c>
      <c r="O152" s="2" t="inlineStr"/>
      <c r="P152" s="2" t="inlineStr"/>
      <c r="Q152" s="2" t="inlineStr">
        <is>
          <t>1825-1331</t>
        </is>
      </c>
      <c r="R152" s="2" t="inlineStr"/>
      <c r="S152" s="2" t="inlineStr"/>
      <c r="T152" s="2" t="inlineStr"/>
      <c r="U152" s="2" t="inlineStr">
        <is>
          <t>eng</t>
        </is>
      </c>
      <c r="V152" s="2" t="inlineStr">
        <is>
          <t>drupal</t>
        </is>
      </c>
      <c r="W152" s="2" t="inlineStr">
        <is>
          <t>38</t>
        </is>
      </c>
      <c r="X152" s="2" t="inlineStr">
        <is>
          <t>1</t>
        </is>
      </c>
      <c r="Y152" s="2" t="inlineStr">
        <is>
          <t>yes</t>
        </is>
      </c>
      <c r="Z152" s="2" t="inlineStr">
        <is>
          <t>missing_doi</t>
        </is>
      </c>
      <c r="AA152" s="2" t="inlineStr"/>
      <c r="AB152" s="2" t="inlineStr">
        <is>
          <t>legacy_drupal_historical</t>
        </is>
      </c>
      <c r="AC152" s="2" t="inlineStr"/>
    </row>
    <row r="153">
      <c r="A153" s="2" t="inlineStr">
        <is>
          <t>drupal-44</t>
        </is>
      </c>
      <c r="B153" s="2" t="inlineStr">
        <is>
          <t>2009</t>
        </is>
      </c>
      <c r="C153" s="2" t="inlineStr">
        <is>
          <t>3-6 MAY</t>
        </is>
      </c>
      <c r="D153" s="2" t="inlineStr">
        <is>
          <t>An EGNOS Based Navigation System for Highly Reliable Aircraft Automatic Landing</t>
        </is>
      </c>
      <c r="E153" s="2" t="inlineStr">
        <is>
          <t>E De Lellis; F Corraro; U Ciniglio; Salvatore Gaglione; P Canzolino; L Garbarino; V Nastro</t>
        </is>
      </c>
      <c r="F153" s="2" t="inlineStr">
        <is>
          <t>Salvatore Gaglione</t>
        </is>
      </c>
      <c r="G153" s="2" t="inlineStr">
        <is>
          <t>Conference Paper</t>
        </is>
      </c>
      <c r="H153" s="2" t="inlineStr">
        <is>
          <t>ENC GNSS 2009 PROCEEDINGS</t>
        </is>
      </c>
      <c r="I153" s="2" t="inlineStr"/>
      <c r="J153" s="2" t="inlineStr"/>
      <c r="K153" s="2" t="inlineStr"/>
      <c r="L153" s="2" t="inlineStr"/>
      <c r="M153" s="2" t="inlineStr"/>
      <c r="N153" s="2" t="inlineStr">
        <is>
          <t>–</t>
        </is>
      </c>
      <c r="O153" s="2" t="inlineStr"/>
      <c r="P153" s="2" t="inlineStr"/>
      <c r="Q153" s="2" t="inlineStr"/>
      <c r="R153" s="2" t="inlineStr"/>
      <c r="S153" s="2" t="inlineStr"/>
      <c r="T153" s="2" t="inlineStr">
        <is>
          <t>Highly precise navigation is the core technology required for many applications, such as automated aerial refuelling (AAR), sea-based joint precision approach and landing systems (JPALS), stationkeeping, unmanned aerial vehicles (UAV) swarming and formation flight and unmanned ground vehicles (UGV) convoys. Advances in the above mentioned technology are possible considering the future GNSS framework, given that adequate characterization of new GNSS devices are performed and that new algorithms are developed that fully exploits the functionalities made available by the future GNSS systems. In this paper both aspects are considered, with specific reference to the use of GPS/EGNOS for reliable fixed wing aircraft automatic landing applications. For what concern experimental characterization of the satellite based navigation system GPS/EGNOS, the main aim of the activity was to describe the broadcasted messages to enhance the navigation accuracy and integrity of the core GNSS-1 elements GPS and GLONASS, and to exploit how the data can be used to compute and analyze the performance in terms of Required Navigation Performance (RNP) parameters. The paper describes the algorithm implemented to process the broadcasted EGNOS SIS in order to obtain a position solution and integrity information compliant with RTCA DO229C. Moreover, the paper presents test procedures and experimental results that may be used as a design guideline for monitoring manufacturing compliance and, in certain cases, for obtaining formal DO229C certification of equipment design and manufacture. On the other hand, concerning the development of new algorithms for Guidance, Navigation &amp; Control of fixed wing vehicles, that are already compatible with the future GNSS framework, it was initially considered a suite of navigation sensors with accuracy similar to the one obtainable by EGNOS. In order to overcome the effects due to an insufficient accuracy, the satellite measures can be in fact integrated with different sensor sources allowing a high precision navigation and an improvement of the integrity and reliability of navigation solutions. By means of an appropriate sensor suite, described in the next, and of a sensor fusion algorithm we obtained a high precision level in navigation measurements that, for instance, allows a high autonomous precision approach and landing. A very simple but effective sensor fusion algorithm based on the use of complementary filtering technique has been implemented. Moreover, some critical autonomous functionality, such as Autolanding, will utilize the GPS integrity ignal in its decision-making logic for evaluating the key-decisions regarding the possible execution of an altitude recovery manoeuvre and, in case, also considering a degraded mode by changing the desired performances at touch down, with the aim to be still compatible with the current navigation system precision. In this way the integrity information provided by EGNOS is efficiently used for achieving a higher safety level during autonomous flight operations. The selected on-board software architecture is actually fully compliant to the use of EGNOS based GPS units, without requiring any upgrade and the proposed sensor fusion algorithms have been already developed being basically compatible with integrity information coming from the future GNSS sensors. Anyway, in the presented first phase of flight experiments, we used a coarse DGPS unit, because EGNOS is still in the testing phase. The next steps are to perform autonomous GN&amp;C flight experiment with EGNOS constellation with a runway completely not instrumented. In the first part of the paper, concerning EGNOS system characterization, is presented an overview of EGNOS (chapter 2), are described the processing of the SBAS Signal-In-Space correction and integrity data and the related algorithm to estimate the integrity supplied by the system (chapter 3), the classes of equipment at which the test requirement are referred and the equipment performance and test procedure focusing on processing requirements and the validation performance assessment logic to assess the performance achievable with EGNOS (chapter 4). In its second part, describing the development of GNC algorithms already compatible with the future GNSS framework, the paper deals with the autolanding algorithms (chapter 6), the sensor fusion algorithms to achieve the desired navigation precision and the methodologies developed in order to safely manage the possible presence of sensor failures (chapter 5), the preliminary results of the real time validation with hardware in the loop simulation (chapter 7) and, finally, the algorithm performances achieved during the first experimental flights by using the CIRA experimental flying platform (chapter 8).</t>
        </is>
      </c>
      <c r="U153" s="2" t="inlineStr">
        <is>
          <t>eng</t>
        </is>
      </c>
      <c r="V153" s="2" t="inlineStr">
        <is>
          <t>drupal</t>
        </is>
      </c>
      <c r="W153" s="2" t="inlineStr">
        <is>
          <t>44</t>
        </is>
      </c>
      <c r="X153" s="2" t="inlineStr">
        <is>
          <t>1</t>
        </is>
      </c>
      <c r="Y153" s="2" t="inlineStr">
        <is>
          <t>yes</t>
        </is>
      </c>
      <c r="Z153" s="2" t="inlineStr">
        <is>
          <t>missing_doi</t>
        </is>
      </c>
      <c r="AA153" s="2" t="inlineStr"/>
      <c r="AB153" s="2" t="inlineStr">
        <is>
          <t>legacy_drupal_historical</t>
        </is>
      </c>
      <c r="AC153" s="2" t="inlineStr"/>
    </row>
    <row r="154">
      <c r="A154" s="2" t="inlineStr">
        <is>
          <t>drupal-45</t>
        </is>
      </c>
      <c r="B154" s="2" t="inlineStr">
        <is>
          <t>2009</t>
        </is>
      </c>
      <c r="C154" s="2" t="inlineStr">
        <is>
          <t>3-6 MAY</t>
        </is>
      </c>
      <c r="D154" s="2" t="inlineStr">
        <is>
          <t>Galileo signal design: State of Art</t>
        </is>
      </c>
      <c r="E154" s="2" t="inlineStr">
        <is>
          <t>Salvatore Gaglione; Umberto Robustelli; R Santamaria; Mario Vultaggio</t>
        </is>
      </c>
      <c r="F154" s="2" t="inlineStr">
        <is>
          <t>Salvatore Gaglione</t>
        </is>
      </c>
      <c r="G154" s="2" t="inlineStr">
        <is>
          <t>Conference Paper</t>
        </is>
      </c>
      <c r="H154" s="2" t="inlineStr">
        <is>
          <t>ENC - GNSS 2009 PROCEEDINGS</t>
        </is>
      </c>
      <c r="I154" s="2" t="inlineStr"/>
      <c r="J154" s="2" t="inlineStr"/>
      <c r="K154" s="2" t="inlineStr"/>
      <c r="L154" s="2" t="inlineStr"/>
      <c r="M154" s="2" t="inlineStr"/>
      <c r="N154" s="2" t="inlineStr">
        <is>
          <t>–</t>
        </is>
      </c>
      <c r="O154" s="2" t="inlineStr"/>
      <c r="P154" s="2" t="inlineStr"/>
      <c r="Q154" s="2" t="inlineStr"/>
      <c r="R154" s="2" t="inlineStr"/>
      <c r="S154" s="2" t="inlineStr"/>
      <c r="T154" s="2" t="inlineStr">
        <is>
          <t>The Global Positioning System (G.P.S.) has been a revolutionary system that opened new opportunities and enabled innovative services for both governmental and civilian applications. Rapidly, an efficient and reliable positioning system has become mandatory for public protection and security applications. As consequence Europe has realized the need to develop an independent positioning system (Galileo) with enhanced capabilities, performance and an unconditioned reliability. Galileo has pursued from the very first moment the goal of having wide band signals in all its assigned frequency bands but it was a particularly difficult task because the band E1 and L1 had already congested. It will be at the same time compatible and inter operable with American G.P.S. Compatibility refers to the ability of space based positioning, navigation and timing (P.N.T.) services to be used separately or together without interfering with each individual service or signal, and without adversely affecting navigation warfare. Interoperability refers to the ability of civil space base P.N.T. services to be used together to provide better capabilities at the user level than would be achieved by relying solely on one service or signal. To achieve this it was necessary planning special signal with particular waveform. An important aspect in designing the modulation scheme is obtain good spectral properties and suitable spectral shaping, low interference with existing G.P.S. signals, good root mean square (R.M.S.) bandwidth, good time resolution (in order to allow the separation between channel paths and to decrease the synchronization errors). The family of modulations that allowed this was the B.O.C. (Binary Offset Carrier). This paper is concerned with this modulation: it will be described their performance both the transmitter that the receiver point of view. Moreover after a brief description of Galileo signal in which will highlight the differences between the various services to be provided by Galileo itself, will be introduced the AltBOC modulation used on E5. Attention will focused on the signal processing techniques required to process the AltBOC modulation because they are much more challenging than those for traditional BPSK or even for the usual B.O.C. modulation. This stems from the extremely large bandwidth and from the complex interaction of 4 components of spreading code.</t>
        </is>
      </c>
      <c r="U154" s="2" t="inlineStr">
        <is>
          <t>eng</t>
        </is>
      </c>
      <c r="V154" s="2" t="inlineStr">
        <is>
          <t>drupal</t>
        </is>
      </c>
      <c r="W154" s="2" t="inlineStr">
        <is>
          <t>45</t>
        </is>
      </c>
      <c r="X154" s="2" t="inlineStr">
        <is>
          <t>1</t>
        </is>
      </c>
      <c r="Y154" s="2" t="inlineStr">
        <is>
          <t>yes</t>
        </is>
      </c>
      <c r="Z154" s="2" t="inlineStr">
        <is>
          <t>missing_doi</t>
        </is>
      </c>
      <c r="AA154" s="2" t="inlineStr"/>
      <c r="AB154" s="2" t="inlineStr">
        <is>
          <t>legacy_drupal_historical</t>
        </is>
      </c>
      <c r="AC154" s="2" t="inlineStr"/>
    </row>
    <row r="155">
      <c r="A155" s="2" t="inlineStr">
        <is>
          <t>drupal-60</t>
        </is>
      </c>
      <c r="B155" s="2" t="inlineStr">
        <is>
          <t>2009</t>
        </is>
      </c>
      <c r="C155" s="2" t="inlineStr">
        <is>
          <t>05/2009</t>
        </is>
      </c>
      <c r="D155" s="2" t="inlineStr">
        <is>
          <t>IMU low cost calibration method</t>
        </is>
      </c>
      <c r="E155" s="2" t="inlineStr">
        <is>
          <t>Antonio Angrisano; Erica Nocerino; Salvatore Troisi; Giuseppe Del Core</t>
        </is>
      </c>
      <c r="F155" s="2" t="inlineStr">
        <is>
          <t>Salvatore Troisi</t>
        </is>
      </c>
      <c r="G155" s="2" t="inlineStr">
        <is>
          <t>Conference Paper</t>
        </is>
      </c>
      <c r="H155" s="2" t="inlineStr">
        <is>
          <t>ENC 2009</t>
        </is>
      </c>
      <c r="I155" s="2" t="inlineStr"/>
      <c r="J155" s="2" t="inlineStr"/>
      <c r="K155" s="2" t="inlineStr">
        <is>
          <t>Naples</t>
        </is>
      </c>
      <c r="L155" s="2" t="inlineStr"/>
      <c r="M155" s="2" t="inlineStr"/>
      <c r="N155" s="2" t="inlineStr"/>
      <c r="O155" s="2" t="inlineStr"/>
      <c r="P155" s="2" t="inlineStr"/>
      <c r="Q155" s="2" t="inlineStr"/>
      <c r="R155" s="2" t="inlineStr"/>
      <c r="S155" s="2" t="inlineStr"/>
      <c r="T155" s="2" t="inlineStr">
        <is>
          <t>The aim of this work is to propose a low cost method to calibrate a low cost IMU (Inertial Measurement Unit). Nowadays, the use of Micro Electro-Mechanical System instruments is widely accepted, owing to their great flexibility linked to their cheap costs. On the other hand, such peculiarities imply a loss of accuracy and performances. In order to have an instrument being completely low cost, also a low cost calibration procedure is required. In the present paper experiments on low cost IMU are discussed; the tested instrument is composed of a cluster of almost orthogonal accelerometers and gyroscopes, based on MEMS technology. For both the accelerometers and the gyros, the proposed calibration method is based on the use of magnitude of reference quantities instead of the single component value.</t>
        </is>
      </c>
      <c r="U155" s="2" t="inlineStr">
        <is>
          <t>eng</t>
        </is>
      </c>
      <c r="V155" s="2" t="inlineStr">
        <is>
          <t>drupal</t>
        </is>
      </c>
      <c r="W155" s="2" t="inlineStr">
        <is>
          <t>60</t>
        </is>
      </c>
      <c r="X155" s="2" t="inlineStr">
        <is>
          <t>1</t>
        </is>
      </c>
      <c r="Y155" s="2" t="inlineStr">
        <is>
          <t>yes</t>
        </is>
      </c>
      <c r="Z155" s="2" t="inlineStr">
        <is>
          <t>missing_doi</t>
        </is>
      </c>
      <c r="AA155" s="2" t="inlineStr"/>
      <c r="AB155" s="2" t="inlineStr">
        <is>
          <t>legacy_drupal_historical</t>
        </is>
      </c>
      <c r="AC155" s="2" t="inlineStr"/>
    </row>
    <row r="156">
      <c r="A156" s="2" t="inlineStr">
        <is>
          <t>drupal-39</t>
        </is>
      </c>
      <c r="B156" s="2" t="inlineStr">
        <is>
          <t>2009</t>
        </is>
      </c>
      <c r="C156" s="2" t="inlineStr"/>
      <c r="D156" s="2" t="inlineStr">
        <is>
          <t>Multi-Constellation System as Augmentation to GPS Performance in Difficult Environment or Critical Applications</t>
        </is>
      </c>
      <c r="E156" s="2" t="inlineStr">
        <is>
          <t>Antonio Angrisano; Salvatore Gaglione; A Pacifico; Mario Vultaggio</t>
        </is>
      </c>
      <c r="F156" s="2" t="inlineStr">
        <is>
          <t>Salvatore Gaglione</t>
        </is>
      </c>
      <c r="G156" s="2" t="inlineStr">
        <is>
          <t>Journal Article</t>
        </is>
      </c>
      <c r="H156" s="2" t="inlineStr">
        <is>
          <t>ATTI DELL'ISTITUTO ITALIANO DI NAVIGAZIONE</t>
        </is>
      </c>
      <c r="I156" s="2" t="inlineStr"/>
      <c r="J156" s="2" t="inlineStr"/>
      <c r="K156" s="2" t="inlineStr"/>
      <c r="L156" s="2" t="inlineStr">
        <is>
          <t>190</t>
        </is>
      </c>
      <c r="M156" s="2" t="inlineStr"/>
      <c r="N156" s="2" t="inlineStr">
        <is>
          <t>–</t>
        </is>
      </c>
      <c r="O156" s="2" t="inlineStr"/>
      <c r="P156" s="2" t="inlineStr"/>
      <c r="Q156" s="2" t="inlineStr">
        <is>
          <t>1120-6977</t>
        </is>
      </c>
      <c r="R156" s="2" t="inlineStr"/>
      <c r="S156" s="2" t="inlineStr"/>
      <c r="T156" s="2" t="inlineStr">
        <is>
          <t>The GPS Standard Positioning Service (SPS) does not provide suitable performance in all environment conditions or in every possible applications. In severely signal degraded environments, e.g. mountainous or urban areas, where a lot of GPS signals are blocked by buildings or natural obstacles, the positioning is inaccurate because of bad satellite configuration or impossible owing to lack of minimum number of visible satellites. Otherwise GPS SPS is inadequate for critical safety applications like aircraft take-off or landing, because does not satisfy the Required Navigation Parameters (RNP) relative to these flight phases. To solve the GPS gap on regional scale, space-based augmentations could be employed. In this study a simulation is carried out, considering GLONASS and EGNOS GEO constellations and a set of 3 geosynchronous satellites (similar to QZSS space segment). A software for constellation analysis is developed in MATLAB® environment to evaluate the considered augmentations performances in critical conditions (urban canyon or critical phase of flight). The used indicators to evaluate coverage performance are the VSN (Visible Satellites Number), DOP (Dilution of Precision) and the probability that integrity is available to be computed in autonomous.</t>
        </is>
      </c>
      <c r="U156" s="2" t="inlineStr">
        <is>
          <t>eng</t>
        </is>
      </c>
      <c r="V156" s="2" t="inlineStr">
        <is>
          <t>drupal</t>
        </is>
      </c>
      <c r="W156" s="2" t="inlineStr">
        <is>
          <t>39</t>
        </is>
      </c>
      <c r="X156" s="2" t="inlineStr">
        <is>
          <t>1</t>
        </is>
      </c>
      <c r="Y156" s="2" t="inlineStr">
        <is>
          <t>yes</t>
        </is>
      </c>
      <c r="Z156" s="2" t="inlineStr">
        <is>
          <t>missing_doi</t>
        </is>
      </c>
      <c r="AA156" s="2" t="inlineStr"/>
      <c r="AB156" s="2" t="inlineStr">
        <is>
          <t>legacy_drupal_historical</t>
        </is>
      </c>
      <c r="AC156" s="2" t="inlineStr"/>
    </row>
    <row r="157">
      <c r="A157" s="2" t="inlineStr">
        <is>
          <t>drupal-57</t>
        </is>
      </c>
      <c r="B157" s="2" t="inlineStr">
        <is>
          <t>2008</t>
        </is>
      </c>
      <c r="C157" s="2" t="inlineStr">
        <is>
          <t>04/2008</t>
        </is>
      </c>
      <c r="D157" s="2" t="inlineStr">
        <is>
          <t>Augmentation satellites constellations, a simulation on EGNOS and QZSS for Europe coverage</t>
        </is>
      </c>
      <c r="E157" s="2" t="inlineStr">
        <is>
          <t>Antonio Angrisano; A Pacifico; Mario Vultaggio</t>
        </is>
      </c>
      <c r="F157" s="2" t="inlineStr"/>
      <c r="G157" s="2" t="inlineStr">
        <is>
          <t>Conference Paper</t>
        </is>
      </c>
      <c r="H157" s="2" t="inlineStr">
        <is>
          <t>ENC 2008</t>
        </is>
      </c>
      <c r="I157" s="2" t="inlineStr"/>
      <c r="J157" s="2" t="inlineStr"/>
      <c r="K157" s="2" t="inlineStr">
        <is>
          <t>Toulouse, France, 22-25 April</t>
        </is>
      </c>
      <c r="L157" s="2" t="inlineStr"/>
      <c r="M157" s="2" t="inlineStr"/>
      <c r="N157" s="2" t="inlineStr"/>
      <c r="O157" s="2" t="inlineStr"/>
      <c r="P157" s="2" t="inlineStr"/>
      <c r="Q157" s="2" t="inlineStr"/>
      <c r="R157" s="2" t="inlineStr"/>
      <c r="S157" s="2" t="inlineStr"/>
      <c r="T157" s="2" t="inlineStr">
        <is>
          <t>The current GPS civil service provides suitable performance only in situations of good electromagnetic visibility; the positioning becomes difficult in severely signal degraded environments, e.g. mountainous or urban areas, where a lot of GPS signals are blocked by buildings or natural obstacles. In these situations GPS could supply only inaccurate positioning or even could be not able to provide position, owing to bad geometry or lack of minimum number of visible SV. In this study simulation software has been developed in MATLAB® environment in order to study the integration of existent and feasible constellations. Detailed coverage analysis of a super-constellation made up of GPS-EGNOS-QZSS will be presented based on existent GPS-EGNOS satellites and hypothetical Shifted-QZSS constellation over Europe. Good results were noticed by integration of all the considered constellations for a wide service area, even for middle values of mask angles.</t>
        </is>
      </c>
      <c r="U157" s="2" t="inlineStr">
        <is>
          <t>eng</t>
        </is>
      </c>
      <c r="V157" s="2" t="inlineStr">
        <is>
          <t>drupal</t>
        </is>
      </c>
      <c r="W157" s="2" t="inlineStr">
        <is>
          <t>57</t>
        </is>
      </c>
      <c r="X157" s="2" t="inlineStr">
        <is>
          <t>1</t>
        </is>
      </c>
      <c r="Y157" s="2" t="inlineStr">
        <is>
          <t>yes</t>
        </is>
      </c>
      <c r="Z157" s="2" t="inlineStr">
        <is>
          <t>missing_doi</t>
        </is>
      </c>
      <c r="AA157" s="2" t="inlineStr"/>
      <c r="AB157" s="2" t="inlineStr">
        <is>
          <t>legacy_drupal_historical</t>
        </is>
      </c>
      <c r="AC157" s="2" t="inlineStr"/>
    </row>
    <row r="158">
      <c r="A158" s="2" t="inlineStr">
        <is>
          <t>drupal-59</t>
        </is>
      </c>
      <c r="B158" s="2" t="inlineStr">
        <is>
          <t>2008</t>
        </is>
      </c>
      <c r="C158" s="2" t="inlineStr"/>
      <c r="D158" s="2" t="inlineStr">
        <is>
          <t>Copertura della Costellazione QZSS (Quasi-Zenith Satellite System)</t>
        </is>
      </c>
      <c r="E158" s="2" t="inlineStr">
        <is>
          <t>Antonio Angrisano; A Pacifico; Mario Vultaggio</t>
        </is>
      </c>
      <c r="F158" s="2" t="inlineStr"/>
      <c r="G158" s="2" t="inlineStr">
        <is>
          <t>Journal Article</t>
        </is>
      </c>
      <c r="H158" s="2" t="inlineStr">
        <is>
          <t>ATTI DELL'ISTITUTO ITALIANO DI NAVIGAZIONE</t>
        </is>
      </c>
      <c r="I158" s="2" t="inlineStr"/>
      <c r="J158" s="2" t="inlineStr"/>
      <c r="K158" s="2" t="inlineStr"/>
      <c r="L158" s="2" t="inlineStr">
        <is>
          <t>187</t>
        </is>
      </c>
      <c r="M158" s="2" t="inlineStr"/>
      <c r="N158" s="2" t="inlineStr"/>
      <c r="O158" s="2" t="inlineStr"/>
      <c r="P158" s="2" t="inlineStr"/>
      <c r="Q158" s="2" t="inlineStr">
        <is>
          <t>1120-6977</t>
        </is>
      </c>
      <c r="R158" s="2" t="inlineStr"/>
      <c r="S158" s="2" t="inlineStr"/>
      <c r="T158" s="2" t="inlineStr">
        <is>
          <t>The objective of this work is the study of the QZSS constellation coverage; QZSS is a satellite system planned by Japan space agency as a GPS augmentation, to improve performances above all in zones with high urbanization, characterized by the so-called “urban canyon”. In these zones a lot of GPS signals are blocked by buildings and they can’t be used by GPS receivers, so there are often bad satellite observation geometries with no precise or even impossible positioning. QZSS satellites, because their orbital parameters, stay for a lot of hours in a day above the served areas with great elevation angles and so they give a good solution to the blocking problem in the towns. In this analysis to verify the improving of GPS coverage on Japan territory with QZSS satellites, it’s been made a computer simulation, which confirm the QZSS usefulness. Such coverage improvement could be obtained in every place of earth, because of quasi-symmetry of GPS constellation, changing the reference meridian of QZSS ground tracks; so it’s been made the same simulation for Italy too, with more details obtained using a 3D model of an area of the centre of Naples.</t>
        </is>
      </c>
      <c r="U158" s="2" t="inlineStr">
        <is>
          <t>eng</t>
        </is>
      </c>
      <c r="V158" s="2" t="inlineStr">
        <is>
          <t>drupal</t>
        </is>
      </c>
      <c r="W158" s="2" t="inlineStr">
        <is>
          <t>59</t>
        </is>
      </c>
      <c r="X158" s="2" t="inlineStr">
        <is>
          <t>1</t>
        </is>
      </c>
      <c r="Y158" s="2" t="inlineStr">
        <is>
          <t>yes</t>
        </is>
      </c>
      <c r="Z158" s="2" t="inlineStr">
        <is>
          <t>missing_doi</t>
        </is>
      </c>
      <c r="AA158" s="2" t="inlineStr"/>
      <c r="AB158" s="2" t="inlineStr">
        <is>
          <t>legacy_drupal_historical</t>
        </is>
      </c>
      <c r="AC158" s="2" t="inlineStr"/>
    </row>
    <row r="159">
      <c r="A159" s="2" t="inlineStr">
        <is>
          <t>drupal-58</t>
        </is>
      </c>
      <c r="B159" s="2" t="inlineStr">
        <is>
          <t>2008</t>
        </is>
      </c>
      <c r="C159" s="2" t="inlineStr"/>
      <c r="D159" s="2" t="inlineStr">
        <is>
          <t>Solving GPS gap, Coverage analysis of a superconstellation made up of GPS+EGNOS+S-QZSS</t>
        </is>
      </c>
      <c r="E159" s="2" t="inlineStr">
        <is>
          <t>Antonio Angrisano; A Pacifico; Mario Vultaggio</t>
        </is>
      </c>
      <c r="F159" s="2" t="inlineStr"/>
      <c r="G159" s="2" t="inlineStr">
        <is>
          <t>Magazine Article</t>
        </is>
      </c>
      <c r="H159" s="2" t="inlineStr">
        <is>
          <t>Coordinates</t>
        </is>
      </c>
      <c r="I159" s="2" t="inlineStr"/>
      <c r="J159" s="2" t="inlineStr"/>
      <c r="K159" s="2" t="inlineStr"/>
      <c r="L159" s="2" t="inlineStr">
        <is>
          <t>IV</t>
        </is>
      </c>
      <c r="M159" s="2" t="inlineStr">
        <is>
          <t>6</t>
        </is>
      </c>
      <c r="N159" s="2" t="inlineStr"/>
      <c r="O159" s="2" t="inlineStr"/>
      <c r="P159" s="2" t="inlineStr"/>
      <c r="Q159" s="2" t="inlineStr"/>
      <c r="R159" s="2" t="inlineStr"/>
      <c r="S159" s="2" t="inlineStr">
        <is>
          <t>http://mycoordinates.org/volume-iv-issue-6-june-2008/</t>
        </is>
      </c>
      <c r="T159" s="2" t="inlineStr">
        <is>
          <t>The current GPS civil service provides suitable performance only in situations of good electromagnetic visibility; the positioning becomes difficult in severely signal degraded environments, e.g. mountainous or urban areas, where a lot of GPS signals are blocked by buildings or natural obstacles. The GPS gaps can be partially solved employing spacebased augmentations systems; in this paper we consider geostationary and geosynchronous constellations. A simulation software has been developed in MATLAB® environment in order to study the integration of existent and feasible constellations.</t>
        </is>
      </c>
      <c r="U159" s="2" t="inlineStr">
        <is>
          <t>eng</t>
        </is>
      </c>
      <c r="V159" s="2" t="inlineStr">
        <is>
          <t>drupal</t>
        </is>
      </c>
      <c r="W159" s="2" t="inlineStr">
        <is>
          <t>58</t>
        </is>
      </c>
      <c r="X159" s="2" t="inlineStr">
        <is>
          <t>1</t>
        </is>
      </c>
      <c r="Y159" s="2" t="inlineStr">
        <is>
          <t>yes</t>
        </is>
      </c>
      <c r="Z159" s="2" t="inlineStr">
        <is>
          <t>missing_doi</t>
        </is>
      </c>
      <c r="AA159" s="2" t="inlineStr"/>
      <c r="AB159" s="2" t="inlineStr">
        <is>
          <t>legacy_drupal_historical</t>
        </is>
      </c>
      <c r="AC159" s="2" t="inlineStr"/>
    </row>
    <row r="160">
      <c r="A160" s="2" t="inlineStr">
        <is>
          <t>drupal-46</t>
        </is>
      </c>
      <c r="B160" s="2" t="inlineStr">
        <is>
          <t>2007</t>
        </is>
      </c>
      <c r="C160" s="2" t="inlineStr">
        <is>
          <t>17-21 Settembre</t>
        </is>
      </c>
      <c r="D160" s="2" t="inlineStr">
        <is>
          <t>Integrazione Del Convertiplano Erica Nell’ATM Europeo: Possibili Scenari Operativi</t>
        </is>
      </c>
      <c r="E160" s="2" t="inlineStr">
        <is>
          <t>Salvatore Gaglione; M Ciaburri; Giuseppe Del Core; Umberto Robustelli; C Vaccaro</t>
        </is>
      </c>
      <c r="F160" s="2" t="inlineStr">
        <is>
          <t>Salvatore Gaglione</t>
        </is>
      </c>
      <c r="G160" s="2" t="inlineStr">
        <is>
          <t>Conference Paper</t>
        </is>
      </c>
      <c r="H160" s="2" t="inlineStr">
        <is>
          <t>Atti del XIX Congresso Nazionale AIDAA</t>
        </is>
      </c>
      <c r="I160" s="2" t="inlineStr"/>
      <c r="J160" s="2" t="inlineStr"/>
      <c r="K160" s="2" t="inlineStr"/>
      <c r="L160" s="2" t="inlineStr"/>
      <c r="M160" s="2" t="inlineStr"/>
      <c r="N160" s="2" t="inlineStr">
        <is>
          <t>–</t>
        </is>
      </c>
      <c r="O160" s="2" t="inlineStr"/>
      <c r="P160" s="2" t="inlineStr"/>
      <c r="Q160" s="2" t="inlineStr"/>
      <c r="R160" s="2" t="inlineStr"/>
      <c r="S160" s="2" t="inlineStr"/>
      <c r="T160" s="2" t="inlineStr">
        <is>
          <t>Il settore del trasporto aereo è in forte evoluzione: l’esplosione e il rafforzamento dei vettori low cost, il cambiamento del ruolo delle alleanze, la concorrenza dei sistemi ferroviari ad alta velocità e le difficoltà derivanti dal contesto macroeconomico mettono a dura prova gli assetti del settore. Molte di queste tensioni, frutto delle dinamiche concorrenziali all’interno del mercato del trasporto passeggeri, si scaricano in maniera diretta sulle compagnie aeree e solo in via indiretta sugli altri attori del sistema come ad esempio i progettisti e i costruttori di velivoli. Questi ultimi hanno recentemente cercato di riprendere e rilanciare in campo civile un aeromobile da tempo operativo in campo militare, il convertiplano. In questo lavoro verrà mostrato l’esito di una attenta analisi sullo stato dell’arte sui concetti e sulle procedure che sono già operative su alcuni aeroporti e negli spazi aerei degli Stati Uniti o sono allo studio nell’ambito di ricerche in altri Paesi . Sarà poi fornita una panoramica dell’ambiente operativo includendovi tutte le possibili operazioni tilt-rotor, per tutte le fasi del volo (decollo, atterraggio, en-route) e tutti i requisiti necessari ad operare nel dominio ATM. Particolare rilievo sarà posto all’identificazione di tutti i servizi richiesti dalle operazioni del convertiplano civile. Sulla base dei risultati ottenuti, verranno sviluppati i possibili scenari operativi nel cielo europeo e si evidenzieranno i potenziali benefici e vantaggi rispetto alle operazioni odierne.</t>
        </is>
      </c>
      <c r="U160" s="2" t="inlineStr">
        <is>
          <t>eng</t>
        </is>
      </c>
      <c r="V160" s="2" t="inlineStr">
        <is>
          <t>drupal</t>
        </is>
      </c>
      <c r="W160" s="2" t="inlineStr">
        <is>
          <t>46</t>
        </is>
      </c>
      <c r="X160" s="2" t="inlineStr">
        <is>
          <t>1</t>
        </is>
      </c>
      <c r="Y160" s="2" t="inlineStr">
        <is>
          <t>yes</t>
        </is>
      </c>
      <c r="Z160" s="2" t="inlineStr">
        <is>
          <t>missing_doi</t>
        </is>
      </c>
      <c r="AA160" s="2" t="inlineStr"/>
      <c r="AB160" s="2" t="inlineStr">
        <is>
          <t>legacy_drupal_historical</t>
        </is>
      </c>
      <c r="AC160" s="2" t="inlineStr"/>
    </row>
    <row r="161">
      <c r="A161" s="2" t="inlineStr">
        <is>
          <t>drupal-49</t>
        </is>
      </c>
      <c r="B161" s="2" t="inlineStr">
        <is>
          <t>2006</t>
        </is>
      </c>
      <c r="C161" s="2" t="inlineStr">
        <is>
          <t>October 18-20,</t>
        </is>
      </c>
      <c r="D161" s="2" t="inlineStr">
        <is>
          <t>European Augmentation Service - a GNSS Monitoring in South Europe Region</t>
        </is>
      </c>
      <c r="E161" s="2" t="inlineStr">
        <is>
          <t>Salvatore Gaglione; Mario Vultaggio; A Pacifico</t>
        </is>
      </c>
      <c r="F161" s="2" t="inlineStr">
        <is>
          <t>Salvatore Gaglione</t>
        </is>
      </c>
      <c r="G161" s="2" t="inlineStr">
        <is>
          <t>Conference Paper</t>
        </is>
      </c>
      <c r="H161" s="2" t="inlineStr">
        <is>
          <t>Proceedings of 12th IAIN World Congress - 2006 International Symposium on GPS / GNSS. Jeju, Korea</t>
        </is>
      </c>
      <c r="I161" s="2" t="inlineStr"/>
      <c r="J161" s="2" t="inlineStr"/>
      <c r="K161" s="2" t="inlineStr"/>
      <c r="L161" s="2" t="inlineStr"/>
      <c r="M161" s="2" t="inlineStr"/>
      <c r="N161" s="2" t="inlineStr">
        <is>
          <t>33–37</t>
        </is>
      </c>
      <c r="O161" s="2" t="inlineStr"/>
      <c r="P161" s="2" t="inlineStr"/>
      <c r="Q161" s="2" t="inlineStr"/>
      <c r="R161" s="2" t="inlineStr"/>
      <c r="S161" s="2" t="inlineStr"/>
      <c r="T161" s="2" t="inlineStr">
        <is>
          <t>In the Civil Aviation field, the international trend (through ICAO, EUROCONTROL) is to adopt one positioning system that allows to follow more flight phases. This will allow to release themselves by ground installations and optimize the traffic flows following the aRea Navigation (RNAV) concept. In order to realize this goal the European Scientific Community is focusing on Augmentation Systems based on Satellite infrastructure (SBAS - Satellite Based Augmentation System) and on Ground based one (GBAS - Ground Based Augmentation System). The goal of this work is to present some results on SBAS and GBAS performances. Regarding SBAS, after the acquisition of a Novatel OEM4 SBAS receiver, the Department of Applied Sciences of Parthenope University created a monitoring station that reflects as much as possible a standardized measure environment for EGNOS Data Collection Network (EDCN), established by Eurocontrol. The Department of Applied Science decided to carry out a own monitoring survey to verify the performance of EGNOS that can be achieved in South Europe region, a zone not fully covered by official (EDCN) monitoring network. Regarding GBAS, starting from a data set of measurements carried out at the GBAS of Milan-Linate airport where we worked on a ground installation (GMS – Ground Monitoring Station) that supervises the GBAS signal and that represents, for our purposes, the Aircraft subsystem. So the set of collected data is to be considered in RTK mode and after the measurements session we processed them with the software PEGASUS v 4.11. Both experiences give us the possibility to evaluate the GNSS1 performance that can be achieved.</t>
        </is>
      </c>
      <c r="U161" s="2" t="inlineStr">
        <is>
          <t>eng</t>
        </is>
      </c>
      <c r="V161" s="2" t="inlineStr">
        <is>
          <t>drupal</t>
        </is>
      </c>
      <c r="W161" s="2" t="inlineStr">
        <is>
          <t>49</t>
        </is>
      </c>
      <c r="X161" s="2" t="inlineStr">
        <is>
          <t>1</t>
        </is>
      </c>
      <c r="Y161" s="2" t="inlineStr">
        <is>
          <t>yes</t>
        </is>
      </c>
      <c r="Z161" s="2" t="inlineStr">
        <is>
          <t>missing_doi</t>
        </is>
      </c>
      <c r="AA161" s="2" t="inlineStr"/>
      <c r="AB161" s="2" t="inlineStr">
        <is>
          <t>legacy_drupal_historical</t>
        </is>
      </c>
      <c r="AC161" s="2" t="inlineStr"/>
    </row>
    <row r="162">
      <c r="A162" s="2" t="inlineStr">
        <is>
          <t>drupal-48</t>
        </is>
      </c>
      <c r="B162" s="2" t="inlineStr">
        <is>
          <t>2006</t>
        </is>
      </c>
      <c r="C162" s="2" t="inlineStr">
        <is>
          <t>May 7-10,</t>
        </is>
      </c>
      <c r="D162" s="2" t="inlineStr">
        <is>
          <t>GBAS - Ground Based Augmentation System, an Italian Experience</t>
        </is>
      </c>
      <c r="E162" s="2" t="inlineStr">
        <is>
          <t>Salvatore Gaglione; Mario Vultaggio</t>
        </is>
      </c>
      <c r="F162" s="2" t="inlineStr">
        <is>
          <t>Salvatore Gaglione</t>
        </is>
      </c>
      <c r="G162" s="2" t="inlineStr">
        <is>
          <t>Conference Paper</t>
        </is>
      </c>
      <c r="H162" s="2" t="inlineStr">
        <is>
          <t>Proceedings of European Navigation Conference (ENC) 2006</t>
        </is>
      </c>
      <c r="I162" s="2" t="inlineStr"/>
      <c r="J162" s="2" t="inlineStr"/>
      <c r="K162" s="2" t="inlineStr"/>
      <c r="L162" s="2" t="inlineStr"/>
      <c r="M162" s="2" t="inlineStr"/>
      <c r="N162" s="2" t="inlineStr">
        <is>
          <t>–</t>
        </is>
      </c>
      <c r="O162" s="2" t="inlineStr"/>
      <c r="P162" s="2" t="inlineStr"/>
      <c r="Q162" s="2" t="inlineStr"/>
      <c r="R162" s="2" t="inlineStr"/>
      <c r="S162" s="2" t="inlineStr"/>
      <c r="T162" s="2" t="inlineStr">
        <is>
          <t>The GNSS (Global Navigation Satellite Systems) are not sufficient to support Air Navigation in specific applications; so it is necessary to introduce Augmentation Systems. In the last years the European Scientific Community are focusing on Augmentation Systems based on Satellite infrastructure (SBAS - Satellite Based Augmentation System) and on Ground based ones (GBAS - Ground Based Augmentation System). The purpose of this work is to verify GBAS performance. We started from a data set of measurements carried out at the GBAS of Milan-Linate where we work on a ground installation (GMS – Ground Monitoring Station) that supervise the GBAS signal and that represent, for our purposes, the Aircraft subsystem. So the set of data collected is to be considered in RTK mode and after the measures session we processed them with the software PEGASUS v 4.0. Some results on availability, integrity and accuracy are reported and discussed.</t>
        </is>
      </c>
      <c r="U162" s="2" t="inlineStr">
        <is>
          <t>eng</t>
        </is>
      </c>
      <c r="V162" s="2" t="inlineStr">
        <is>
          <t>drupal</t>
        </is>
      </c>
      <c r="W162" s="2" t="inlineStr">
        <is>
          <t>48</t>
        </is>
      </c>
      <c r="X162" s="2" t="inlineStr">
        <is>
          <t>1</t>
        </is>
      </c>
      <c r="Y162" s="2" t="inlineStr">
        <is>
          <t>yes</t>
        </is>
      </c>
      <c r="Z162" s="2" t="inlineStr">
        <is>
          <t>missing_doi</t>
        </is>
      </c>
      <c r="AA162" s="2" t="inlineStr"/>
      <c r="AB162" s="2" t="inlineStr">
        <is>
          <t>legacy_drupal_historical</t>
        </is>
      </c>
      <c r="AC162" s="2" t="inlineStr"/>
    </row>
    <row r="163">
      <c r="A163" s="2" t="inlineStr">
        <is>
          <t>drupal-50</t>
        </is>
      </c>
      <c r="B163" s="2" t="inlineStr">
        <is>
          <t>2006</t>
        </is>
      </c>
      <c r="C163" s="2" t="inlineStr">
        <is>
          <t>14 - 17 Novembre</t>
        </is>
      </c>
      <c r="D163" s="2" t="inlineStr">
        <is>
          <t>Simulazione di un test di integrità mediante tecnologia RAIM</t>
        </is>
      </c>
      <c r="E163" s="2" t="inlineStr">
        <is>
          <t>Salvatore Gaglione; Umberto Robustelli; M D'Avanzo</t>
        </is>
      </c>
      <c r="F163" s="2" t="inlineStr">
        <is>
          <t>Salvatore Gaglione</t>
        </is>
      </c>
      <c r="G163" s="2" t="inlineStr">
        <is>
          <t>Conference Paper</t>
        </is>
      </c>
      <c r="H163" s="2" t="inlineStr">
        <is>
          <t>Proceedings 10a Conferenza Nazionale ASITA</t>
        </is>
      </c>
      <c r="I163" s="2" t="inlineStr"/>
      <c r="J163" s="2" t="inlineStr"/>
      <c r="K163" s="2" t="inlineStr"/>
      <c r="L163" s="2" t="inlineStr"/>
      <c r="M163" s="2" t="inlineStr"/>
      <c r="N163" s="2" t="inlineStr">
        <is>
          <t>829–834</t>
        </is>
      </c>
      <c r="O163" s="2" t="inlineStr"/>
      <c r="P163" s="2" t="inlineStr"/>
      <c r="Q163" s="2" t="inlineStr"/>
      <c r="R163" s="2" t="inlineStr"/>
      <c r="S163" s="2" t="inlineStr"/>
      <c r="T163" s="2" t="inlineStr"/>
      <c r="U163" s="2" t="inlineStr">
        <is>
          <t>eng</t>
        </is>
      </c>
      <c r="V163" s="2" t="inlineStr">
        <is>
          <t>drupal</t>
        </is>
      </c>
      <c r="W163" s="2" t="inlineStr">
        <is>
          <t>50</t>
        </is>
      </c>
      <c r="X163" s="2" t="inlineStr">
        <is>
          <t>1</t>
        </is>
      </c>
      <c r="Y163" s="2" t="inlineStr">
        <is>
          <t>yes</t>
        </is>
      </c>
      <c r="Z163" s="2" t="inlineStr">
        <is>
          <t>missing_doi</t>
        </is>
      </c>
      <c r="AA163" s="2" t="inlineStr"/>
      <c r="AB163" s="2" t="inlineStr">
        <is>
          <t>legacy_drupal_historical</t>
        </is>
      </c>
      <c r="AC163" s="2" t="inlineStr"/>
    </row>
    <row r="164">
      <c r="A164" s="2" t="inlineStr">
        <is>
          <t>drupal-66</t>
        </is>
      </c>
      <c r="B164" s="2" t="inlineStr">
        <is>
          <t>2006</t>
        </is>
      </c>
      <c r="C164" s="2" t="inlineStr"/>
      <c r="D164" s="2" t="inlineStr">
        <is>
          <t>Sviluppo di Software per lo Studio della Visibilità dei Satelliti della Costellazione GPS</t>
        </is>
      </c>
      <c r="E164" s="2" t="inlineStr">
        <is>
          <t>Antonio Angrisano</t>
        </is>
      </c>
      <c r="F164" s="2" t="inlineStr"/>
      <c r="G164" s="2" t="inlineStr">
        <is>
          <t>Thesis</t>
        </is>
      </c>
      <c r="H164" s="2" t="inlineStr">
        <is>
          <t>Dipartimento di Scienze Applicate</t>
        </is>
      </c>
      <c r="I164" s="2" t="inlineStr"/>
      <c r="J164" s="2" t="inlineStr">
        <is>
          <t>Parthenope</t>
        </is>
      </c>
      <c r="K164" s="2" t="inlineStr">
        <is>
          <t>Naples</t>
        </is>
      </c>
      <c r="L164" s="2" t="inlineStr">
        <is>
          <t>MSc</t>
        </is>
      </c>
      <c r="M164" s="2" t="inlineStr"/>
      <c r="N164" s="2" t="inlineStr"/>
      <c r="O164" s="2" t="inlineStr"/>
      <c r="P164" s="2" t="inlineStr"/>
      <c r="Q164" s="2" t="inlineStr"/>
      <c r="R164" s="2" t="inlineStr"/>
      <c r="S164" s="2" t="inlineStr"/>
      <c r="T164" s="2" t="inlineStr"/>
      <c r="U164" s="2" t="inlineStr">
        <is>
          <t>eng</t>
        </is>
      </c>
      <c r="V164" s="2" t="inlineStr">
        <is>
          <t>drupal</t>
        </is>
      </c>
      <c r="W164" s="2" t="inlineStr">
        <is>
          <t>66</t>
        </is>
      </c>
      <c r="X164" s="2" t="inlineStr">
        <is>
          <t>1</t>
        </is>
      </c>
      <c r="Y164" s="2" t="inlineStr">
        <is>
          <t>yes</t>
        </is>
      </c>
      <c r="Z164" s="2" t="inlineStr">
        <is>
          <t>missing_doi</t>
        </is>
      </c>
      <c r="AA164" s="2" t="inlineStr"/>
      <c r="AB164" s="2" t="inlineStr">
        <is>
          <t>legacy_drupal_historical</t>
        </is>
      </c>
      <c r="AC164" s="2" t="inlineStr"/>
    </row>
    <row r="165">
      <c r="A165" s="2" t="inlineStr">
        <is>
          <t>drupal-47</t>
        </is>
      </c>
      <c r="B165" s="2" t="inlineStr">
        <is>
          <t>2006</t>
        </is>
      </c>
      <c r="C165" s="2" t="inlineStr">
        <is>
          <t>October 18-20,</t>
        </is>
      </c>
      <c r="D165" s="2" t="inlineStr">
        <is>
          <t>Virtual Ground Based Augmentation System</t>
        </is>
      </c>
      <c r="E165" s="2" t="inlineStr">
        <is>
          <t>Salvatore Gaglione; Giuseppe Del Core; Mario Vultaggio; A Pacifico</t>
        </is>
      </c>
      <c r="F165" s="2" t="inlineStr">
        <is>
          <t>Salvatore Gaglione</t>
        </is>
      </c>
      <c r="G165" s="2" t="inlineStr">
        <is>
          <t>Conference Paper</t>
        </is>
      </c>
      <c r="H165" s="2" t="inlineStr">
        <is>
          <t>12th IAIN World Congress - 2006 International Symposium on GPS / GNSS Proceedings</t>
        </is>
      </c>
      <c r="I165" s="2" t="inlineStr"/>
      <c r="J165" s="2" t="inlineStr"/>
      <c r="K165" s="2" t="inlineStr"/>
      <c r="L165" s="2" t="inlineStr"/>
      <c r="M165" s="2" t="inlineStr"/>
      <c r="N165" s="2" t="inlineStr">
        <is>
          <t>–</t>
        </is>
      </c>
      <c r="O165" s="2" t="inlineStr"/>
      <c r="P165" s="2" t="inlineStr"/>
      <c r="Q165" s="2" t="inlineStr"/>
      <c r="R165" s="2" t="inlineStr"/>
      <c r="S165" s="2" t="inlineStr"/>
      <c r="T165" s="2" t="inlineStr">
        <is>
          <t>Since 1993, the civil aviation community through RTCA (Radio Technical Commission for Aeronautics) and the ICAO (International Civil Air Navigation Organization) have been working on the definition of GNSS augmentation systems that will provide improved levels of accuracy and integrity. These augmentation systems have been classified into three distinct groups: Aircraft Based Augmentation Systems (ABAS), Space Based Augmentation Systems (SBAS) and Ground Based Augmentation Systems (GBAS). The last one is an implemented system to support Air Navigation in CAT-I approaching operation. It consists of three primary subsystems: the GNSS Satellite subsystem that produces the ranging signals and navigation messages; the GBAS ground subsystem, which uses two or more GNSS receivers. It collects pseudo ranges for all GNSS satellites in view and computes and broadcasts differential corrections and integrity-related information; the Aircraft subsystem. Within the area of coverage of the ground station, aircraft subsystems may use the broadcast corrections to compute their own measurements in line with the differential principle. After selection of the desired FAS for the landing runway, the differentially corrected position is used to generate navigation guidance signals. Those are lateral and vertical deviations as well as distance to the threshold crossing point of the selected FAS and integrity flags. The Department of Applied Science in Naples has create for its study a virtual GBAS Ground station. Starting from three GPS double frequency receivers, we collect data of 24h measures session and in post processing we generate the GC (GBAS Correction). For this goal we use the software Pegasus V4.1 developed from EUROCONTROL. Generating the GC we have the possibility to study and monitor GBAS performance and integrity starting from a virtual functional architecture. The latter allows us to collect data without the necessity to found us authorization for the access to restricted area in airport where there is one GBAS installation.</t>
        </is>
      </c>
      <c r="U165" s="2" t="inlineStr">
        <is>
          <t>eng</t>
        </is>
      </c>
      <c r="V165" s="2" t="inlineStr">
        <is>
          <t>drupal</t>
        </is>
      </c>
      <c r="W165" s="2" t="inlineStr">
        <is>
          <t>47</t>
        </is>
      </c>
      <c r="X165" s="2" t="inlineStr">
        <is>
          <t>1</t>
        </is>
      </c>
      <c r="Y165" s="2" t="inlineStr">
        <is>
          <t>yes</t>
        </is>
      </c>
      <c r="Z165" s="2" t="inlineStr">
        <is>
          <t>missing_doi</t>
        </is>
      </c>
      <c r="AA165" s="2" t="inlineStr"/>
      <c r="AB165" s="2" t="inlineStr">
        <is>
          <t>legacy_drupal_historical</t>
        </is>
      </c>
      <c r="AC165" s="2" t="inlineStr"/>
    </row>
    <row r="166">
      <c r="A166" s="2" t="inlineStr">
        <is>
          <t>drupal-51</t>
        </is>
      </c>
      <c r="B166" s="2" t="inlineStr">
        <is>
          <t>2005</t>
        </is>
      </c>
      <c r="C166" s="2" t="inlineStr">
        <is>
          <t>15 - 18 Novembre</t>
        </is>
      </c>
      <c r="D166" s="2" t="inlineStr">
        <is>
          <t>Primi risultati del sistema sperimentale GBAS</t>
        </is>
      </c>
      <c r="E166" s="2" t="inlineStr">
        <is>
          <t>Salvatore Gaglione; P Gervasoni; Mario Vultaggio</t>
        </is>
      </c>
      <c r="F166" s="2" t="inlineStr">
        <is>
          <t>Salvatore Gaglione</t>
        </is>
      </c>
      <c r="G166" s="2" t="inlineStr">
        <is>
          <t>Conference Paper</t>
        </is>
      </c>
      <c r="H166" s="2" t="inlineStr">
        <is>
          <t>Atti della 9a Conferenza Nazionale ASITA</t>
        </is>
      </c>
      <c r="I166" s="2" t="inlineStr"/>
      <c r="J166" s="2" t="inlineStr"/>
      <c r="K166" s="2" t="inlineStr"/>
      <c r="L166" s="2" t="inlineStr"/>
      <c r="M166" s="2" t="inlineStr"/>
      <c r="N166" s="2" t="inlineStr">
        <is>
          <t>–</t>
        </is>
      </c>
      <c r="O166" s="2" t="inlineStr"/>
      <c r="P166" s="2" t="inlineStr"/>
      <c r="Q166" s="2" t="inlineStr"/>
      <c r="R166" s="2" t="inlineStr"/>
      <c r="S166" s="2" t="inlineStr"/>
      <c r="T166" s="2" t="inlineStr">
        <is>
          <t>The GNSS (Global Navigation Satellite Systems-GPS+GLONASS) are not sufficient to support Air and Maritime Navigation in specific applications; so it is necessary to introduce Augmentation Systems. In last years the European Scientific Community are focusing its attention on Augumentation Systems based on Satellite infrastructure (SBAS - Satellite Based Augmentation System) and on Ground based one (GBAS - Ground Based Augmentation System). This one is a implemented system to support Air Navigation in CAT-I approaching operation. The purpose of this work is to verify GBAS performance. So we started from a data set of measures collected at the GBAS installation of Milano Linate and we process this with the software PEGASUS v 4.0.Some results on availability, integrity and accuracy are reported and discussed.</t>
        </is>
      </c>
      <c r="U166" s="2" t="inlineStr">
        <is>
          <t>eng</t>
        </is>
      </c>
      <c r="V166" s="2" t="inlineStr">
        <is>
          <t>drupal</t>
        </is>
      </c>
      <c r="W166" s="2" t="inlineStr">
        <is>
          <t>51</t>
        </is>
      </c>
      <c r="X166" s="2" t="inlineStr">
        <is>
          <t>1</t>
        </is>
      </c>
      <c r="Y166" s="2" t="inlineStr">
        <is>
          <t>yes</t>
        </is>
      </c>
      <c r="Z166" s="2" t="inlineStr">
        <is>
          <t>missing_doi</t>
        </is>
      </c>
      <c r="AA166" s="2" t="inlineStr"/>
      <c r="AB166" s="2" t="inlineStr">
        <is>
          <t>legacy_drupal_historical</t>
        </is>
      </c>
      <c r="AC166" s="2" t="inlineStr"/>
    </row>
    <row r="167">
      <c r="A167" s="2" t="inlineStr">
        <is>
          <t>drupal-41</t>
        </is>
      </c>
      <c r="B167" s="2" t="inlineStr">
        <is>
          <t>2004</t>
        </is>
      </c>
      <c r="C167" s="2" t="inlineStr"/>
      <c r="D167" s="2" t="inlineStr">
        <is>
          <t>Egnos System Test Bed</t>
        </is>
      </c>
      <c r="E167" s="2" t="inlineStr">
        <is>
          <t>T Cozzolino; Salvatore Gaglione</t>
        </is>
      </c>
      <c r="F167" s="2" t="inlineStr">
        <is>
          <t>Salvatore Gaglione</t>
        </is>
      </c>
      <c r="G167" s="2" t="inlineStr">
        <is>
          <t>Journal Article</t>
        </is>
      </c>
      <c r="H167" s="2" t="inlineStr">
        <is>
          <t>ATTI DELL'ISTITUTO ITALIANO DI NAVIGAZIONE</t>
        </is>
      </c>
      <c r="I167" s="2" t="inlineStr"/>
      <c r="J167" s="2" t="inlineStr"/>
      <c r="K167" s="2" t="inlineStr"/>
      <c r="L167" s="2" t="inlineStr"/>
      <c r="M167" s="2" t="inlineStr"/>
      <c r="N167" s="2" t="inlineStr">
        <is>
          <t>23–30</t>
        </is>
      </c>
      <c r="O167" s="2" t="inlineStr"/>
      <c r="P167" s="2" t="inlineStr"/>
      <c r="Q167" s="2" t="inlineStr">
        <is>
          <t>1120-6977</t>
        </is>
      </c>
      <c r="R167" s="2" t="inlineStr"/>
      <c r="S167" s="2" t="inlineStr"/>
      <c r="T167" s="2" t="inlineStr">
        <is>
          <t>Questo articolo descrive quali sono le informazioni aggiuntive che il sistema di augmentation EGNOS fornisce. In particolare si considerano le correzioni inviate dal primo prototipo di EGNOS (European Geostationary Navigation overlay Service) e cioè l’ ESTB ( Egnos System Test Bed). Per una più completa documentazione si può far riferimento a quella prodotta da Eurocontrol ed eventualmente contattare l’ing. Santiago SOLEY e l’ing. Rick Farnworth.</t>
        </is>
      </c>
      <c r="U167" s="2" t="inlineStr">
        <is>
          <t>eng</t>
        </is>
      </c>
      <c r="V167" s="2" t="inlineStr">
        <is>
          <t>drupal</t>
        </is>
      </c>
      <c r="W167" s="2" t="inlineStr">
        <is>
          <t>41</t>
        </is>
      </c>
      <c r="X167" s="2" t="inlineStr">
        <is>
          <t>1</t>
        </is>
      </c>
      <c r="Y167" s="2" t="inlineStr">
        <is>
          <t>yes</t>
        </is>
      </c>
      <c r="Z167" s="2" t="inlineStr">
        <is>
          <t>missing_doi</t>
        </is>
      </c>
      <c r="AA167" s="2" t="inlineStr"/>
      <c r="AB167" s="2" t="inlineStr">
        <is>
          <t>legacy_drupal_historical</t>
        </is>
      </c>
      <c r="AC167" s="2" t="inlineStr"/>
    </row>
    <row r="168">
      <c r="A168" s="2" t="inlineStr">
        <is>
          <t>drupal-52</t>
        </is>
      </c>
      <c r="B168" s="2" t="inlineStr">
        <is>
          <t>2004</t>
        </is>
      </c>
      <c r="C168" s="2" t="inlineStr">
        <is>
          <t>14 – 17 dicemb</t>
        </is>
      </c>
      <c r="D168" s="2" t="inlineStr">
        <is>
          <t>Integrazione di un Sistema Inerziale con Misure Satellitari</t>
        </is>
      </c>
      <c r="E168" s="2" t="inlineStr">
        <is>
          <t>T Cozzolino; Salvatore Gaglione; V Nastro; R Santamaria</t>
        </is>
      </c>
      <c r="F168" s="2" t="inlineStr">
        <is>
          <t>Salvatore Gaglione</t>
        </is>
      </c>
      <c r="G168" s="2" t="inlineStr">
        <is>
          <t>Conference Paper</t>
        </is>
      </c>
      <c r="H168" s="2" t="inlineStr">
        <is>
          <t>Atti della 8a Conferenza Nazionale ASITA</t>
        </is>
      </c>
      <c r="I168" s="2" t="inlineStr"/>
      <c r="J168" s="2" t="inlineStr"/>
      <c r="K168" s="2" t="inlineStr"/>
      <c r="L168" s="2" t="inlineStr"/>
      <c r="M168" s="2" t="inlineStr"/>
      <c r="N168" s="2" t="inlineStr">
        <is>
          <t>–</t>
        </is>
      </c>
      <c r="O168" s="2" t="inlineStr"/>
      <c r="P168" s="2" t="inlineStr"/>
      <c r="Q168" s="2" t="inlineStr"/>
      <c r="R168" s="2" t="inlineStr"/>
      <c r="S168" s="2" t="inlineStr"/>
      <c r="T168" s="2" t="inlineStr">
        <is>
          <t>Abstract: The stand-alone inertial systems present advantages but also severe limitations owing to unbounded position errors as well as GPS presents limitations such as poor geometry, dynamic noise and satellite masking; consequently the integration of GPS receivers into existing inertial navigation systems appears very attractive. This paper describes a design approach to such integration and the corresponding advantages.</t>
        </is>
      </c>
      <c r="U168" s="2" t="inlineStr">
        <is>
          <t>eng</t>
        </is>
      </c>
      <c r="V168" s="2" t="inlineStr">
        <is>
          <t>drupal</t>
        </is>
      </c>
      <c r="W168" s="2" t="inlineStr">
        <is>
          <t>52</t>
        </is>
      </c>
      <c r="X168" s="2" t="inlineStr">
        <is>
          <t>1</t>
        </is>
      </c>
      <c r="Y168" s="2" t="inlineStr">
        <is>
          <t>yes</t>
        </is>
      </c>
      <c r="Z168" s="2" t="inlineStr">
        <is>
          <t>missing_doi</t>
        </is>
      </c>
      <c r="AA168" s="2" t="inlineStr"/>
      <c r="AB168" s="2" t="inlineStr">
        <is>
          <t>legacy_drupal_historical</t>
        </is>
      </c>
      <c r="AC168" s="2" t="inlineStr"/>
    </row>
    <row r="169">
      <c r="A169" s="2" t="inlineStr">
        <is>
          <t>drupal-40</t>
        </is>
      </c>
      <c r="B169" s="2" t="inlineStr">
        <is>
          <t>2004</t>
        </is>
      </c>
      <c r="C169" s="2" t="inlineStr"/>
      <c r="D169" s="2" t="inlineStr">
        <is>
          <t>Prova sperimentale di un SBAS nell’Italia Meridionale</t>
        </is>
      </c>
      <c r="E169" s="2" t="inlineStr">
        <is>
          <t>T Cozzolino; Salvatore Gaglione</t>
        </is>
      </c>
      <c r="F169" s="2" t="inlineStr">
        <is>
          <t>Salvatore Gaglione</t>
        </is>
      </c>
      <c r="G169" s="2" t="inlineStr">
        <is>
          <t>Journal Article</t>
        </is>
      </c>
      <c r="H169" s="2" t="inlineStr">
        <is>
          <t>ATTI DELL'ISTITUTO ITALIANO DI NAVIGAZIONE</t>
        </is>
      </c>
      <c r="I169" s="2" t="inlineStr"/>
      <c r="J169" s="2" t="inlineStr"/>
      <c r="K169" s="2" t="inlineStr"/>
      <c r="L169" s="2" t="inlineStr"/>
      <c r="M169" s="2" t="inlineStr"/>
      <c r="N169" s="2" t="inlineStr">
        <is>
          <t>10–23</t>
        </is>
      </c>
      <c r="O169" s="2" t="inlineStr"/>
      <c r="P169" s="2" t="inlineStr"/>
      <c r="Q169" s="2" t="inlineStr">
        <is>
          <t>1120-6977</t>
        </is>
      </c>
      <c r="R169" s="2" t="inlineStr"/>
      <c r="S169" s="2" t="inlineStr"/>
      <c r="T169" s="2" t="inlineStr">
        <is>
          <t>In quest’articolo si riportano i risultati di misure effettuate in diverse località del sud Italia. Esse fanno parte di una fase di sperimentazione programmata da Eurocontrol che ha messo a disposizione del nostro gruppo la strumentazione necessaria per l’acquisizione delle serie temporali in modalità statica.</t>
        </is>
      </c>
      <c r="U169" s="2" t="inlineStr">
        <is>
          <t>eng</t>
        </is>
      </c>
      <c r="V169" s="2" t="inlineStr">
        <is>
          <t>drupal</t>
        </is>
      </c>
      <c r="W169" s="2" t="inlineStr">
        <is>
          <t>40</t>
        </is>
      </c>
      <c r="X169" s="2" t="inlineStr">
        <is>
          <t>1</t>
        </is>
      </c>
      <c r="Y169" s="2" t="inlineStr">
        <is>
          <t>yes</t>
        </is>
      </c>
      <c r="Z169" s="2" t="inlineStr">
        <is>
          <t>missing_doi</t>
        </is>
      </c>
      <c r="AA169" s="2" t="inlineStr"/>
      <c r="AB169" s="2" t="inlineStr">
        <is>
          <t>legacy_drupal_historical</t>
        </is>
      </c>
      <c r="AC169" s="2" t="inlineStr"/>
    </row>
  </sheetData>
  <autoFilter ref="A1:AC16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7"/>
  <sheetViews>
    <sheetView showGridLines="0" workbookViewId="0">
      <pane ySplit="1" topLeftCell="A2" activePane="bottomLeft" state="frozen"/>
      <selection pane="bottomLeft" activeCell="A1" sqref="A1"/>
    </sheetView>
  </sheetViews>
  <sheetFormatPr baseColWidth="8" defaultRowHeight="15"/>
  <cols>
    <col width="42" customWidth="1" min="1" max="1"/>
    <col width="10" customWidth="1" min="2" max="2"/>
    <col width="12" customWidth="1" min="3" max="3"/>
    <col width="42" customWidth="1" min="4" max="4"/>
    <col width="42" customWidth="1" min="5" max="5"/>
    <col width="39" customWidth="1" min="6" max="6"/>
    <col width="33" customWidth="1" min="7" max="7"/>
    <col width="42" customWidth="1" min="8" max="8"/>
    <col width="19" customWidth="1" min="9" max="9"/>
    <col width="10" customWidth="1" min="10" max="10"/>
    <col width="11" customWidth="1" min="11" max="11"/>
    <col width="42" customWidth="1" min="12" max="12"/>
    <col width="21" customWidth="1" min="13" max="13"/>
    <col width="42" customWidth="1" min="14" max="14"/>
    <col width="42" customWidth="1" min="15" max="15"/>
    <col width="26" customWidth="1" min="16" max="16"/>
    <col width="42" customWidth="1" min="17" max="17"/>
    <col width="19" customWidth="1" min="18" max="18"/>
    <col width="42" customWidth="1" min="19" max="19"/>
  </cols>
  <sheetData>
    <row r="1">
      <c r="A1" s="1" t="inlineStr">
        <is>
          <t>publication_id</t>
        </is>
      </c>
      <c r="B1" s="1" t="inlineStr">
        <is>
          <t>year</t>
        </is>
      </c>
      <c r="C1" s="1" t="inlineStr">
        <is>
          <t>date</t>
        </is>
      </c>
      <c r="D1" s="1" t="inlineStr">
        <is>
          <t>title</t>
        </is>
      </c>
      <c r="E1" s="1" t="inlineStr">
        <is>
          <t>authors</t>
        </is>
      </c>
      <c r="F1" s="1" t="inlineStr">
        <is>
          <t>pang_faculty_authors</t>
        </is>
      </c>
      <c r="G1" s="1" t="inlineStr">
        <is>
          <t>document_type</t>
        </is>
      </c>
      <c r="H1" s="1" t="inlineStr">
        <is>
          <t>source_title</t>
        </is>
      </c>
      <c r="I1" s="1" t="inlineStr">
        <is>
          <t>volume</t>
        </is>
      </c>
      <c r="J1" s="1" t="inlineStr">
        <is>
          <t>issue</t>
        </is>
      </c>
      <c r="K1" s="1" t="inlineStr">
        <is>
          <t>pages</t>
        </is>
      </c>
      <c r="L1" s="1" t="inlineStr">
        <is>
          <t>doi</t>
        </is>
      </c>
      <c r="M1" s="1" t="inlineStr">
        <is>
          <t>scopus_eid</t>
        </is>
      </c>
      <c r="N1" s="1" t="inlineStr">
        <is>
          <t>scopus_url</t>
        </is>
      </c>
      <c r="O1" s="1" t="inlineStr">
        <is>
          <t>source_url</t>
        </is>
      </c>
      <c r="P1" s="1" t="inlineStr">
        <is>
          <t>verification_status</t>
        </is>
      </c>
      <c r="Q1" s="1" t="inlineStr">
        <is>
          <t>verification_evidence</t>
        </is>
      </c>
      <c r="R1" s="1" t="inlineStr">
        <is>
          <t>include_in_master</t>
        </is>
      </c>
      <c r="S1" s="1" t="inlineStr">
        <is>
          <t>notes</t>
        </is>
      </c>
    </row>
    <row r="2">
      <c r="A2" s="2" t="inlineStr">
        <is>
          <t>scopus-10-1109-taes-2025-3619912</t>
        </is>
      </c>
      <c r="B2" s="2" t="n">
        <v>2026</v>
      </c>
      <c r="C2" s="2" t="inlineStr"/>
      <c r="D2" s="2" t="inlineStr">
        <is>
          <t>A Split Pulse Fusion Method for Radar Reconnaissance</t>
        </is>
      </c>
      <c r="E2" s="2" t="inlineStr">
        <is>
          <t>Ronghua Guo; Yang-Yang Dong; Dan Bao; Chunxi Dong; Sergio Vitale; Giampaolo Ferraioli; Vito Pascazio; Wenbo Li; Zhiyuan Li</t>
        </is>
      </c>
      <c r="F2" s="2" t="inlineStr">
        <is>
          <t>Giampaolo Ferraioli</t>
        </is>
      </c>
      <c r="G2" s="2" t="inlineStr">
        <is>
          <t>Journal Article</t>
        </is>
      </c>
      <c r="H2" s="2" t="inlineStr">
        <is>
          <t>IEEE Transactions on Aerospace and Electronic Systems</t>
        </is>
      </c>
      <c r="I2" s="2" t="inlineStr">
        <is>
          <t>62</t>
        </is>
      </c>
      <c r="J2" s="2" t="inlineStr"/>
      <c r="K2" s="2" t="inlineStr">
        <is>
          <t>217-233</t>
        </is>
      </c>
      <c r="L2" s="2" t="inlineStr">
        <is>
          <t>10.1109/TAES.2025.3619912</t>
        </is>
      </c>
      <c r="M2" s="2" t="inlineStr"/>
      <c r="N2" s="2" t="inlineStr"/>
      <c r="O2" s="2" t="inlineStr">
        <is>
          <t>https://www.sciencedirect.com/author/7003486376/vito-pascazio</t>
        </is>
      </c>
      <c r="P2" s="3" t="inlineStr">
        <is>
          <t>verified_scopus</t>
        </is>
      </c>
      <c r="Q2" s="2" t="inlineStr">
        <is>
          <t>ScienceDirect author page labels the publication “Scopus Article”.</t>
        </is>
      </c>
      <c r="R2" s="2" t="inlineStr">
        <is>
          <t>yes</t>
        </is>
      </c>
      <c r="S2" s="2" t="inlineStr"/>
    </row>
    <row r="3">
      <c r="A3" s="2" t="inlineStr">
        <is>
          <t>scopus-10-3390-geomatics6010004</t>
        </is>
      </c>
      <c r="B3" s="2" t="n">
        <v>2026</v>
      </c>
      <c r="C3" s="2" t="inlineStr">
        <is>
          <t>2026-01-10</t>
        </is>
      </c>
      <c r="D3" s="2" t="inlineStr">
        <is>
          <t>Evaluating Neural Radiance Fields for Image-Based 3D Reconstruction: A Comparative Study with SfM-MVS</t>
        </is>
      </c>
      <c r="E3" s="2" t="inlineStr">
        <is>
          <t>Alessia Giaquinto; Giampaolo Ferraioli; Silvio Del Pizzo</t>
        </is>
      </c>
      <c r="F3" s="2" t="inlineStr">
        <is>
          <t>Giampaolo Ferraioli; Silvio Del Pizzo</t>
        </is>
      </c>
      <c r="G3" s="2" t="inlineStr">
        <is>
          <t>Journal Article</t>
        </is>
      </c>
      <c r="H3" s="2" t="inlineStr">
        <is>
          <t>Geomatics</t>
        </is>
      </c>
      <c r="I3" s="2" t="inlineStr">
        <is>
          <t>6</t>
        </is>
      </c>
      <c r="J3" s="2" t="inlineStr">
        <is>
          <t>1</t>
        </is>
      </c>
      <c r="K3" s="2" t="inlineStr">
        <is>
          <t>4</t>
        </is>
      </c>
      <c r="L3" s="2" t="inlineStr">
        <is>
          <t>10.3390/geomatics6010004</t>
        </is>
      </c>
      <c r="M3" s="2" t="inlineStr"/>
      <c r="N3" s="2" t="inlineStr"/>
      <c r="O3" s="2" t="inlineStr">
        <is>
          <t>https://www.mdpi.com/2673-7418/6/1/4</t>
        </is>
      </c>
      <c r="P3" s="4" t="inlineStr">
        <is>
          <t>pending_scopus</t>
        </is>
      </c>
      <c r="Q3" s="2" t="inlineStr">
        <is>
          <t>Publisher record confirmed; direct Scopus record/EID not yet retrieved.</t>
        </is>
      </c>
      <c r="R3" s="2" t="inlineStr">
        <is>
          <t>no</t>
        </is>
      </c>
      <c r="S3" s="2" t="inlineStr"/>
    </row>
    <row r="4">
      <c r="A4" s="2" t="inlineStr">
        <is>
          <t>scopus-10-3390-automation7020036</t>
        </is>
      </c>
      <c r="B4" s="2" t="n">
        <v>2026</v>
      </c>
      <c r="C4" s="2" t="inlineStr">
        <is>
          <t>2026-02-25</t>
        </is>
      </c>
      <c r="D4" s="2" t="inlineStr">
        <is>
          <t>Intelligent Tomato Leaf Disease Detection and Automated Spray Prescription Using YOLOv9: A Smart Agriculture Approach</t>
        </is>
      </c>
      <c r="E4" s="2" t="inlineStr">
        <is>
          <t>Shahab Ul Islam; Giampaolo Ferraioli; Ghassan Husnain; Abdul Waheed; Vito Pascazio</t>
        </is>
      </c>
      <c r="F4" s="2" t="inlineStr">
        <is>
          <t>Giampaolo Ferraioli</t>
        </is>
      </c>
      <c r="G4" s="2" t="inlineStr">
        <is>
          <t>Journal Article</t>
        </is>
      </c>
      <c r="H4" s="2" t="inlineStr">
        <is>
          <t>Automation</t>
        </is>
      </c>
      <c r="I4" s="2" t="inlineStr">
        <is>
          <t>7</t>
        </is>
      </c>
      <c r="J4" s="2" t="inlineStr">
        <is>
          <t>2</t>
        </is>
      </c>
      <c r="K4" s="2" t="inlineStr">
        <is>
          <t>36</t>
        </is>
      </c>
      <c r="L4" s="2" t="inlineStr">
        <is>
          <t>10.3390/automation7020036</t>
        </is>
      </c>
      <c r="M4" s="2" t="inlineStr"/>
      <c r="N4" s="2" t="inlineStr"/>
      <c r="O4" s="2" t="inlineStr">
        <is>
          <t>https://www.sciencedirect.com/author/7003486376/vito-pascazio</t>
        </is>
      </c>
      <c r="P4" s="3" t="inlineStr">
        <is>
          <t>verified_scopus</t>
        </is>
      </c>
      <c r="Q4" s="2" t="inlineStr">
        <is>
          <t>ScienceDirect author page lists the Automation 2026 record as “Scopus Article”.</t>
        </is>
      </c>
      <c r="R4" s="2" t="inlineStr">
        <is>
          <t>yes</t>
        </is>
      </c>
      <c r="S4" s="2" t="inlineStr"/>
    </row>
    <row r="5">
      <c r="A5" s="2" t="inlineStr">
        <is>
          <t>scopus-10-3390-engproc2026126010</t>
        </is>
      </c>
      <c r="B5" s="2" t="n">
        <v>2026</v>
      </c>
      <c r="C5" s="2" t="inlineStr">
        <is>
          <t>2026-02-11</t>
        </is>
      </c>
      <c r="D5" s="2" t="inlineStr">
        <is>
          <t>On the Context-Aware GNSS Navigation: Test of a k-Nearest Neighbors Classifier in Different Environments</t>
        </is>
      </c>
      <c r="E5" s="2" t="inlineStr">
        <is>
          <t>Giovanni Cappello; Antonio Angrisano; Ciro Gioia; Antonio Maratea; Salvatore Gaglione</t>
        </is>
      </c>
      <c r="F5" s="2" t="inlineStr">
        <is>
          <t>Salvatore Gaglione</t>
        </is>
      </c>
      <c r="G5" s="2" t="inlineStr">
        <is>
          <t>Conference Paper</t>
        </is>
      </c>
      <c r="H5" s="2" t="inlineStr">
        <is>
          <t>Engineering Proceedings</t>
        </is>
      </c>
      <c r="I5" s="2" t="inlineStr">
        <is>
          <t>126</t>
        </is>
      </c>
      <c r="J5" s="2" t="inlineStr">
        <is>
          <t>1</t>
        </is>
      </c>
      <c r="K5" s="2" t="inlineStr">
        <is>
          <t>10</t>
        </is>
      </c>
      <c r="L5" s="2" t="inlineStr">
        <is>
          <t>10.3390/engproc2026126010</t>
        </is>
      </c>
      <c r="M5" s="2" t="inlineStr"/>
      <c r="N5" s="2" t="inlineStr"/>
      <c r="O5" s="2" t="inlineStr">
        <is>
          <t>https://www.mdpi.com/2673-4591/126/1/10</t>
        </is>
      </c>
      <c r="P5" s="4" t="inlineStr">
        <is>
          <t>pending_scopus</t>
        </is>
      </c>
      <c r="Q5" s="2" t="inlineStr">
        <is>
          <t>Publisher record confirmed; direct Scopus record/EID not yet retrieved.</t>
        </is>
      </c>
      <c r="R5" s="2" t="inlineStr">
        <is>
          <t>no</t>
        </is>
      </c>
      <c r="S5" s="2" t="inlineStr"/>
    </row>
    <row r="6">
      <c r="A6" s="2" t="inlineStr">
        <is>
          <t>scopus-10-1016-j-oceaneng-2025-123471</t>
        </is>
      </c>
      <c r="B6" s="2" t="n">
        <v>2026</v>
      </c>
      <c r="C6" s="2" t="inlineStr">
        <is>
          <t>2026-01-15</t>
        </is>
      </c>
      <c r="D6" s="2" t="inlineStr">
        <is>
          <t>Sea state reconstruction based on the Spearman rank correlation using full-scale data from a containership</t>
        </is>
      </c>
      <c r="E6" s="2" t="inlineStr">
        <is>
          <t>Silvia Ascione; Ulrik D. Nielsen; Vincenzo Piscopo; Gaute Storhaug</t>
        </is>
      </c>
      <c r="F6" s="2" t="inlineStr">
        <is>
          <t>Vincenzo Piscopo</t>
        </is>
      </c>
      <c r="G6" s="2" t="inlineStr">
        <is>
          <t>Journal Article</t>
        </is>
      </c>
      <c r="H6" s="2" t="inlineStr">
        <is>
          <t>Ocean Engineering</t>
        </is>
      </c>
      <c r="I6" s="2" t="inlineStr">
        <is>
          <t>343</t>
        </is>
      </c>
      <c r="J6" s="2" t="inlineStr">
        <is>
          <t>Part 4</t>
        </is>
      </c>
      <c r="K6" s="2" t="inlineStr">
        <is>
          <t>123471</t>
        </is>
      </c>
      <c r="L6" s="2" t="inlineStr">
        <is>
          <t>10.1016/j.oceaneng.2025.123471</t>
        </is>
      </c>
      <c r="M6" s="2" t="inlineStr"/>
      <c r="N6" s="2" t="inlineStr"/>
      <c r="O6" s="2" t="inlineStr">
        <is>
          <t>https://www.sciencedirect.com/author/57224792997/ulrik-dam-nielsen</t>
        </is>
      </c>
      <c r="P6" s="3" t="inlineStr">
        <is>
          <t>verified_scopus</t>
        </is>
      </c>
      <c r="Q6" s="2" t="inlineStr">
        <is>
          <t>ScienceDirect author page provides “View details in Scopus” for this article.</t>
        </is>
      </c>
      <c r="R6" s="2" t="inlineStr">
        <is>
          <t>yes</t>
        </is>
      </c>
      <c r="S6" s="2" t="inlineStr"/>
    </row>
    <row r="7">
      <c r="A7" s="2" t="inlineStr">
        <is>
          <t>scopus-10-1109-lgrs-2026-3659009</t>
        </is>
      </c>
      <c r="B7" s="2" t="n">
        <v>2026</v>
      </c>
      <c r="C7" s="2" t="inlineStr"/>
      <c r="D7" s="2" t="inlineStr">
        <is>
          <t>Sentinel-1 Ground Truth Dataset for Coastline Extraction</t>
        </is>
      </c>
      <c r="E7" s="2" t="inlineStr">
        <is>
          <t>Gianpaolo Passarello; Sergio Vitale; Giampaolo Ferraioli; Vito Pascazio</t>
        </is>
      </c>
      <c r="F7" s="2" t="inlineStr">
        <is>
          <t>Giampaolo Ferraioli</t>
        </is>
      </c>
      <c r="G7" s="2" t="inlineStr">
        <is>
          <t>Journal Article</t>
        </is>
      </c>
      <c r="H7" s="2" t="inlineStr">
        <is>
          <t>IEEE Geoscience and Remote Sensing Letters</t>
        </is>
      </c>
      <c r="I7" s="2" t="inlineStr">
        <is>
          <t>23</t>
        </is>
      </c>
      <c r="J7" s="2" t="inlineStr"/>
      <c r="K7" s="2" t="inlineStr"/>
      <c r="L7" s="2" t="inlineStr">
        <is>
          <t>10.1109/LGRS.2026.3659009</t>
        </is>
      </c>
      <c r="M7" s="2" t="inlineStr"/>
      <c r="N7" s="2" t="inlineStr"/>
      <c r="O7" s="2" t="inlineStr">
        <is>
          <t>https://www.sciencedirect.com/author/7003486376/vito-pascazio</t>
        </is>
      </c>
      <c r="P7" s="3" t="inlineStr">
        <is>
          <t>verified_scopus</t>
        </is>
      </c>
      <c r="Q7" s="2" t="inlineStr">
        <is>
          <t>ScienceDirect author page labels the publication “Scopus Article”.</t>
        </is>
      </c>
      <c r="R7" s="2" t="inlineStr">
        <is>
          <t>yes</t>
        </is>
      </c>
      <c r="S7" s="2" t="inlineStr"/>
    </row>
    <row r="8">
      <c r="A8" s="2" t="inlineStr">
        <is>
          <t>scopus-10-1109-lgrs-2025-3555441</t>
        </is>
      </c>
      <c r="B8" s="2" t="n">
        <v>2025</v>
      </c>
      <c r="C8" s="2" t="inlineStr"/>
      <c r="D8" s="2" t="inlineStr">
        <is>
          <t>A Deep Learning Solution for Phase Screen Estimation in SAR Tomography</t>
        </is>
      </c>
      <c r="E8" s="2" t="inlineStr">
        <is>
          <t>Hossein Aghababaei; Giampaolo Ferraioli; Sergio Vitale; Alfred Stein</t>
        </is>
      </c>
      <c r="F8" s="2" t="inlineStr">
        <is>
          <t>Giampaolo Ferraioli</t>
        </is>
      </c>
      <c r="G8" s="2" t="inlineStr">
        <is>
          <t>Journal Article</t>
        </is>
      </c>
      <c r="H8" s="2" t="inlineStr">
        <is>
          <t>IEEE Geoscience and Remote Sensing Letters</t>
        </is>
      </c>
      <c r="I8" s="2" t="inlineStr">
        <is>
          <t>22</t>
        </is>
      </c>
      <c r="J8" s="2" t="inlineStr"/>
      <c r="K8" s="2" t="inlineStr">
        <is>
          <t>4007605</t>
        </is>
      </c>
      <c r="L8" s="2" t="inlineStr">
        <is>
          <t>10.1109/LGRS.2025.3555441</t>
        </is>
      </c>
      <c r="M8" s="2" t="inlineStr"/>
      <c r="N8" s="2" t="inlineStr"/>
      <c r="O8" s="2" t="inlineStr">
        <is>
          <t>https://research.utwente.nl/en/publications/a-deep-learning-solution-for-phase-screen-estimation-in-sar-tomog/</t>
        </is>
      </c>
      <c r="P8" s="5" t="inlineStr">
        <is>
          <t>verified_scopus_indirect</t>
        </is>
      </c>
      <c r="Q8" s="2" t="inlineStr">
        <is>
          <t>University of Twente research portal exposes Scopus citation data for the publication.</t>
        </is>
      </c>
      <c r="R8" s="2" t="inlineStr">
        <is>
          <t>yes</t>
        </is>
      </c>
      <c r="S8" s="2" t="inlineStr"/>
    </row>
    <row r="9">
      <c r="A9" s="2" t="inlineStr">
        <is>
          <t>scopus-10-1109-metroaerospace64938-2025-11114485</t>
        </is>
      </c>
      <c r="B9" s="2" t="n">
        <v>2025</v>
      </c>
      <c r="C9" s="2" t="inlineStr"/>
      <c r="D9" s="2" t="inlineStr">
        <is>
          <t>A Micro Radar-Based Low-Cost Solution for Positioning and Detection, and Avoidance System</t>
        </is>
      </c>
      <c r="E9" s="2" t="inlineStr">
        <is>
          <t>Gennaro Ariante; Lucie Rocquelain; Salvatore Gaglione; Silvio Del Pizzo; Giuseppe Del Core</t>
        </is>
      </c>
      <c r="F9" s="2" t="inlineStr">
        <is>
          <t>Salvatore Gaglione; Silvio Del Pizzo</t>
        </is>
      </c>
      <c r="G9" s="2" t="inlineStr">
        <is>
          <t>Conference Paper</t>
        </is>
      </c>
      <c r="H9" s="2" t="inlineStr">
        <is>
          <t>2025 IEEE International Workshop on Metrology for AeroSpace, MetroAeroSpace 2025 - Proceedings</t>
        </is>
      </c>
      <c r="I9" s="2" t="inlineStr"/>
      <c r="J9" s="2" t="inlineStr"/>
      <c r="K9" s="2" t="inlineStr"/>
      <c r="L9" s="2" t="inlineStr">
        <is>
          <t>10.1109/MetroAeroSpace64938.2025.11114485</t>
        </is>
      </c>
      <c r="M9" s="2" t="inlineStr">
        <is>
          <t>2-s2.0-105015377060</t>
        </is>
      </c>
      <c r="N9" s="2" t="inlineStr">
        <is>
          <t>https://www.scopus.com/inward/record.uri?eid=2-s2.0-105015377060&amp;doi=10.1109%2fMetroAeroSpace64938.2025.11114485&amp;partnerID=40&amp;md5=03287e527efef9f4adf9d23e9c84507f</t>
        </is>
      </c>
      <c r="O9" s="2" t="inlineStr">
        <is>
          <t>https://www.scopus.com/inward/record.uri?eid=2-s2.0-105015377060&amp;doi=10.1109%2fMetroAeroSpace64938.2025.11114485&amp;partnerID=40&amp;md5=03287e527efef9f4adf9d23e9c84507f</t>
        </is>
      </c>
      <c r="P9" s="3" t="inlineStr">
        <is>
          <t>verified_scopus</t>
        </is>
      </c>
      <c r="Q9" s="2" t="inlineStr">
        <is>
          <t>Direct Scopus inward URL/EID stored in the legacy Drupal record.</t>
        </is>
      </c>
      <c r="R9" s="2" t="inlineStr">
        <is>
          <t>yes</t>
        </is>
      </c>
      <c r="S9" s="2" t="inlineStr">
        <is>
          <t>Recovered from Drupal 2025; treated as Scopus source for the new master.</t>
        </is>
      </c>
    </row>
    <row r="10">
      <c r="A10" s="2" t="inlineStr">
        <is>
          <t>scopus-10-1016-j-oceaneng-2025-121579</t>
        </is>
      </c>
      <c r="B10" s="2" t="n">
        <v>2025</v>
      </c>
      <c r="C10" s="2" t="inlineStr"/>
      <c r="D10" s="2" t="inlineStr">
        <is>
          <t>A numerical model of ship manoeuvring for the KVLCC2 hull, in regular and long-crested irregular waves</t>
        </is>
      </c>
      <c r="E10" s="2" t="inlineStr">
        <is>
          <t>Maria Acanfora; Marco Altosole; Silvia Pennino</t>
        </is>
      </c>
      <c r="F10" s="2" t="inlineStr">
        <is>
          <t>Silvia Pennino</t>
        </is>
      </c>
      <c r="G10" s="2" t="inlineStr">
        <is>
          <t>Journal Article</t>
        </is>
      </c>
      <c r="H10" s="2" t="inlineStr">
        <is>
          <t>Ocean Engineering</t>
        </is>
      </c>
      <c r="I10" s="2" t="inlineStr">
        <is>
          <t>333</t>
        </is>
      </c>
      <c r="J10" s="2" t="inlineStr"/>
      <c r="K10" s="2" t="inlineStr">
        <is>
          <t>121579</t>
        </is>
      </c>
      <c r="L10" s="2" t="inlineStr">
        <is>
          <t>10.1016/j.oceaneng.2025.121579</t>
        </is>
      </c>
      <c r="M10" s="2" t="inlineStr"/>
      <c r="N10" s="2" t="inlineStr"/>
      <c r="O10" s="2" t="inlineStr">
        <is>
          <t>https://ouci.dntb.gov.ua/works/9Gmm8Yyx/</t>
        </is>
      </c>
      <c r="P10" s="3" t="inlineStr">
        <is>
          <t>verified_scopus</t>
        </is>
      </c>
      <c r="Q10" s="2" t="inlineStr">
        <is>
          <t>OUCI record explicitly marks the article as indexed in Scopus.</t>
        </is>
      </c>
      <c r="R10" s="2" t="inlineStr">
        <is>
          <t>yes</t>
        </is>
      </c>
      <c r="S10" s="2" t="inlineStr"/>
    </row>
    <row r="11">
      <c r="A11" s="2" t="inlineStr">
        <is>
          <t>scopus-10-1109-metrosea66681-2025-11245754</t>
        </is>
      </c>
      <c r="B11" s="2" t="n">
        <v>2025</v>
      </c>
      <c r="C11" s="2" t="inlineStr"/>
      <c r="D11" s="2" t="inlineStr">
        <is>
          <t>Advancing Offshore Renewable Energy in the Mediterranean Sea: Digital-Med, a Project for Integrating Resource Assessment and Decision Support</t>
        </is>
      </c>
      <c r="E11" s="2" t="inlineStr">
        <is>
          <t>Silvio Del Pizzo; Salvatore Gaglione; Pier Paolo Amoroso; Pasquale Contestabile; Yuri Cotroneo; Francesco Giuseppe Figliomeni; Diego Vicinanza; Giorgio Budillon</t>
        </is>
      </c>
      <c r="F11" s="2" t="inlineStr">
        <is>
          <t>Silvio Del Pizzo; Salvatore Gaglione</t>
        </is>
      </c>
      <c r="G11" s="2" t="inlineStr">
        <is>
          <t>Conference Paper</t>
        </is>
      </c>
      <c r="H11" s="2" t="inlineStr">
        <is>
          <t>2025 IEEE International Workshop on Metrology for the Sea; Learning to Measure Sea Health Parameters, MetroSea 2025 - Proceedings</t>
        </is>
      </c>
      <c r="I11" s="2" t="inlineStr"/>
      <c r="J11" s="2" t="inlineStr"/>
      <c r="K11" s="2" t="inlineStr"/>
      <c r="L11" s="2" t="inlineStr">
        <is>
          <t>10.1109/MetroSea66681.2025.11245754</t>
        </is>
      </c>
      <c r="M11" s="2" t="inlineStr">
        <is>
          <t>2-s2.0-105029542122</t>
        </is>
      </c>
      <c r="N11" s="2" t="inlineStr">
        <is>
          <t>https://www.scopus.com/inward/record.uri?eid=2-s2.0-105029542122&amp;doi=10.1109%2fMetroSea66681.2025.11245754&amp;partnerID=40&amp;md5=deea9b4f945a9ec20267bce45c30d977</t>
        </is>
      </c>
      <c r="O11" s="2" t="inlineStr">
        <is>
          <t>https://www.scopus.com/inward/record.uri?eid=2-s2.0-105029542122&amp;doi=10.1109%2fMetroSea66681.2025.11245754&amp;partnerID=40&amp;md5=deea9b4f945a9ec20267bce45c30d977</t>
        </is>
      </c>
      <c r="P11" s="3" t="inlineStr">
        <is>
          <t>verified_scopus</t>
        </is>
      </c>
      <c r="Q11" s="2" t="inlineStr">
        <is>
          <t>Direct Scopus inward URL/EID stored in the legacy Drupal record.</t>
        </is>
      </c>
      <c r="R11" s="2" t="inlineStr">
        <is>
          <t>yes</t>
        </is>
      </c>
      <c r="S11" s="2" t="inlineStr">
        <is>
          <t>Recovered from Drupal 2025; treated as Scopus source for the new master.</t>
        </is>
      </c>
    </row>
    <row r="12">
      <c r="A12" s="2" t="inlineStr">
        <is>
          <t>scopus-10-1109-igarss55030-2025-11243038</t>
        </is>
      </c>
      <c r="B12" s="2" t="n">
        <v>2025</v>
      </c>
      <c r="C12" s="2" t="inlineStr">
        <is>
          <t>2025-08</t>
        </is>
      </c>
      <c r="D12" s="2" t="inlineStr">
        <is>
          <t>An Open-Access Cross-Modal Forest Benchmark Training Dataset With Sentinel-1 and Lidar data</t>
        </is>
      </c>
      <c r="E12" s="2" t="inlineStr">
        <is>
          <t>Hossein Aghababaei; Giampaolo Ferraioli; Gilda Schirinzi; Erkki Tomppo; Jaan Praks</t>
        </is>
      </c>
      <c r="F12" s="2" t="inlineStr">
        <is>
          <t>Giampaolo Ferraioli</t>
        </is>
      </c>
      <c r="G12" s="2" t="inlineStr">
        <is>
          <t>Conference Paper</t>
        </is>
      </c>
      <c r="H12" s="2" t="inlineStr">
        <is>
          <t>IGARSS 2025 - 2025 IEEE International Geoscience and Remote Sensing Symposium</t>
        </is>
      </c>
      <c r="I12" s="2" t="inlineStr"/>
      <c r="J12" s="2" t="inlineStr"/>
      <c r="K12" s="2" t="inlineStr">
        <is>
          <t>3588-3591</t>
        </is>
      </c>
      <c r="L12" s="2" t="inlineStr">
        <is>
          <t>10.1109/IGARSS55030.2025.11243038</t>
        </is>
      </c>
      <c r="M12" s="2" t="inlineStr">
        <is>
          <t>2-s2.0-105034117757</t>
        </is>
      </c>
      <c r="N12" s="2" t="inlineStr">
        <is>
          <t>https://www.scopus.com/pages/publications/105034117757</t>
        </is>
      </c>
      <c r="O12" s="2" t="inlineStr">
        <is>
          <t>https://research.aalto.fi/en/publications/an-open-access-cross-modal-forest-benchmark-training-dataset-with/</t>
        </is>
      </c>
      <c r="P12" s="3" t="inlineStr">
        <is>
          <t>verified_scopus</t>
        </is>
      </c>
      <c r="Q12" s="2" t="inlineStr">
        <is>
          <t>Aalto research portal exposes direct Scopus URL and AN=SCOPUS:105034117757.</t>
        </is>
      </c>
      <c r="R12" s="2" t="inlineStr">
        <is>
          <t>yes</t>
        </is>
      </c>
      <c r="S12" s="2" t="inlineStr"/>
    </row>
    <row r="13">
      <c r="A13" s="2" t="inlineStr">
        <is>
          <t>scopus-10-1016-j-oceaneng-2025-122258</t>
        </is>
      </c>
      <c r="B13" s="2" t="n">
        <v>2025</v>
      </c>
      <c r="C13" s="2" t="inlineStr">
        <is>
          <t>2025-11-30</t>
        </is>
      </c>
      <c r="D13" s="2" t="inlineStr">
        <is>
          <t>Assessment of bimodal sea states by the wave buoy analogy method</t>
        </is>
      </c>
      <c r="E13" s="2" t="inlineStr">
        <is>
          <t>Vincenzo Piscopo; Silvia Ascione; Antonio Scamardella</t>
        </is>
      </c>
      <c r="F13" s="2" t="inlineStr">
        <is>
          <t>Vincenzo Piscopo; Antonio Scamardella</t>
        </is>
      </c>
      <c r="G13" s="2" t="inlineStr">
        <is>
          <t>Journal Article</t>
        </is>
      </c>
      <c r="H13" s="2" t="inlineStr">
        <is>
          <t>Ocean Engineering</t>
        </is>
      </c>
      <c r="I13" s="2" t="inlineStr">
        <is>
          <t>340</t>
        </is>
      </c>
      <c r="J13" s="2" t="inlineStr">
        <is>
          <t>Part 1</t>
        </is>
      </c>
      <c r="K13" s="2" t="inlineStr">
        <is>
          <t>122258</t>
        </is>
      </c>
      <c r="L13" s="2" t="inlineStr">
        <is>
          <t>10.1016/j.oceaneng.2025.122258</t>
        </is>
      </c>
      <c r="M13" s="2" t="inlineStr"/>
      <c r="N13" s="2" t="inlineStr"/>
      <c r="O13" s="2" t="inlineStr">
        <is>
          <t>https://www.sciencedirect.com/author/6507257720/v-piscopo</t>
        </is>
      </c>
      <c r="P13" s="3" t="inlineStr">
        <is>
          <t>verified_scopus</t>
        </is>
      </c>
      <c r="Q13" s="2" t="inlineStr">
        <is>
          <t>ScienceDirect author page provides “View details in Scopus”; OUCI independently labels the record Scopus.</t>
        </is>
      </c>
      <c r="R13" s="2" t="inlineStr">
        <is>
          <t>yes</t>
        </is>
      </c>
      <c r="S13" s="2" t="inlineStr"/>
    </row>
    <row r="14">
      <c r="A14" s="2" t="inlineStr">
        <is>
          <t>scopus-10-1038-s41598-025-00653-8</t>
        </is>
      </c>
      <c r="B14" s="2" t="n">
        <v>2025</v>
      </c>
      <c r="C14" s="2" t="inlineStr">
        <is>
          <t>2025-05-12</t>
        </is>
      </c>
      <c r="D14" s="2" t="inlineStr">
        <is>
          <t>Augustus’ solar meridian functioning and the birth of the western leap year</t>
        </is>
      </c>
      <c r="E14" s="2" t="inlineStr">
        <is>
          <t>V. Baiocchi; M. Baumgartner; M. Barbarella; M. T. D’Alessio; Silvio Del Pizzo; F. Giannone; F. Radicioni; A. Stoppini; G. Tosi; Salvatore Troisi; L. Alessandri</t>
        </is>
      </c>
      <c r="F14" s="2" t="inlineStr">
        <is>
          <t>Silvio Del Pizzo; Salvatore Troisi</t>
        </is>
      </c>
      <c r="G14" s="2" t="inlineStr">
        <is>
          <t>Journal Article</t>
        </is>
      </c>
      <c r="H14" s="2" t="inlineStr">
        <is>
          <t>Scientific Reports</t>
        </is>
      </c>
      <c r="I14" s="2" t="inlineStr">
        <is>
          <t>15</t>
        </is>
      </c>
      <c r="J14" s="2" t="inlineStr"/>
      <c r="K14" s="2" t="inlineStr">
        <is>
          <t>16463</t>
        </is>
      </c>
      <c r="L14" s="2" t="inlineStr">
        <is>
          <t>10.1038/s41598-025-00653-8</t>
        </is>
      </c>
      <c r="M14" s="2" t="inlineStr"/>
      <c r="N14" s="2" t="inlineStr"/>
      <c r="O14" s="2" t="inlineStr">
        <is>
          <t>https://research.rug.nl/en/publications/augustus-solar-meridian-functioning-and-the-birth-of-the-western-/</t>
        </is>
      </c>
      <c r="P14" s="5" t="inlineStr">
        <is>
          <t>verified_scopus_indirect</t>
        </is>
      </c>
      <c r="Q14" s="2" t="inlineStr">
        <is>
          <t>University of Groningen research portal reports Scopus citation data for this record.</t>
        </is>
      </c>
      <c r="R14" s="2" t="inlineStr">
        <is>
          <t>yes</t>
        </is>
      </c>
      <c r="S14" s="2" t="inlineStr"/>
    </row>
    <row r="15">
      <c r="A15" s="2" t="inlineStr">
        <is>
          <t>scopus-10-3233-pmst250035</t>
        </is>
      </c>
      <c r="B15" s="2" t="n">
        <v>2025</v>
      </c>
      <c r="C15" s="2" t="inlineStr">
        <is>
          <t>2025-08-12</t>
        </is>
      </c>
      <c r="D15" s="2" t="inlineStr">
        <is>
          <t>Development and Application of a Numerical Model for Ship Manoeuvring in Regular and Irregular Waves</t>
        </is>
      </c>
      <c r="E15" s="2" t="inlineStr">
        <is>
          <t>Maria Acanfora; Silvia Pennino; Antonio Scamardella</t>
        </is>
      </c>
      <c r="F15" s="2" t="inlineStr">
        <is>
          <t>Silvia Pennino; Antonio Scamardella</t>
        </is>
      </c>
      <c r="G15" s="2" t="inlineStr">
        <is>
          <t>Conference Paper / Book Chapter</t>
        </is>
      </c>
      <c r="H15" s="2" t="inlineStr">
        <is>
          <t>Technology and Science for the Ships of the Future</t>
        </is>
      </c>
      <c r="I15" s="2" t="inlineStr"/>
      <c r="J15" s="2" t="inlineStr"/>
      <c r="K15" s="2" t="inlineStr"/>
      <c r="L15" s="2" t="inlineStr">
        <is>
          <t>10.3233/PMST250035</t>
        </is>
      </c>
      <c r="M15" s="2" t="inlineStr"/>
      <c r="N15" s="2" t="inlineStr"/>
      <c r="O15" s="2" t="inlineStr">
        <is>
          <t>https://journals.sagepub.com/doi/10.3233/PMST250035</t>
        </is>
      </c>
      <c r="P15" s="4" t="inlineStr">
        <is>
          <t>pending_scopus</t>
        </is>
      </c>
      <c r="Q15" s="2" t="inlineStr">
        <is>
          <t>Publisher record confirmed; direct Scopus record/EID not yet retrieved.</t>
        </is>
      </c>
      <c r="R15" s="2" t="inlineStr">
        <is>
          <t>no</t>
        </is>
      </c>
      <c r="S15" s="2" t="inlineStr"/>
    </row>
    <row r="16">
      <c r="A16" s="2" t="inlineStr">
        <is>
          <t>scopus-10-1109-lgrs-2025-3577907</t>
        </is>
      </c>
      <c r="B16" s="2" t="n">
        <v>2025</v>
      </c>
      <c r="C16" s="2" t="inlineStr"/>
      <c r="D16" s="2" t="inlineStr">
        <is>
          <t>Enhanced Deep Learning SAR Despeckling Networks Based on SAR Assessing Metrics</t>
        </is>
      </c>
      <c r="E16" s="2" t="inlineStr">
        <is>
          <t>Sergio Vitale; Giampaolo Ferraioli; Vito Pascazio; Luis Gomez Deniz</t>
        </is>
      </c>
      <c r="F16" s="2" t="inlineStr">
        <is>
          <t>Giampaolo Ferraioli</t>
        </is>
      </c>
      <c r="G16" s="2" t="inlineStr">
        <is>
          <t>Journal Article</t>
        </is>
      </c>
      <c r="H16" s="2" t="inlineStr">
        <is>
          <t>IEEE Geoscience and Remote Sensing Letters</t>
        </is>
      </c>
      <c r="I16" s="2" t="inlineStr">
        <is>
          <t>22</t>
        </is>
      </c>
      <c r="J16" s="2" t="inlineStr"/>
      <c r="K16" s="2" t="inlineStr">
        <is>
          <t>4009305</t>
        </is>
      </c>
      <c r="L16" s="2" t="inlineStr">
        <is>
          <t>10.1109/LGRS.2025.3577907</t>
        </is>
      </c>
      <c r="M16" s="2" t="inlineStr"/>
      <c r="N16" s="2" t="inlineStr"/>
      <c r="O16" s="2" t="inlineStr">
        <is>
          <t>https://accedacris.ulpgc.es/handle/10553/141828</t>
        </is>
      </c>
      <c r="P16" s="6" t="inlineStr">
        <is>
          <t>probable_scopus</t>
        </is>
      </c>
      <c r="Q16" s="2" t="inlineStr">
        <is>
          <t>Published in IEEE GRSL; public CRIS confirms metadata, but no direct Scopus EID was exposed in the retrieved record.</t>
        </is>
      </c>
      <c r="R16" s="2" t="inlineStr">
        <is>
          <t>no</t>
        </is>
      </c>
      <c r="S16" s="2" t="inlineStr">
        <is>
          <t>Keep pending until direct Scopus confirmation/EID is obtained.</t>
        </is>
      </c>
    </row>
    <row r="17">
      <c r="A17" s="2" t="inlineStr">
        <is>
          <t>scopus-10-1109-lgrs-2025-3580932</t>
        </is>
      </c>
      <c r="B17" s="2" t="n">
        <v>2025</v>
      </c>
      <c r="C17" s="2" t="inlineStr">
        <is>
          <t>2025-07-17</t>
        </is>
      </c>
      <c r="D17" s="2" t="inlineStr">
        <is>
          <t>Erratum to “A deep learning solution for phase screen estimation in SAR tomography”</t>
        </is>
      </c>
      <c r="E17" s="2" t="inlineStr">
        <is>
          <t>Hossein Aghababaei; Giampaolo Ferraioli; Sergio Vitale; Alfred Stein</t>
        </is>
      </c>
      <c r="F17" s="2" t="inlineStr">
        <is>
          <t>Giampaolo Ferraioli</t>
        </is>
      </c>
      <c r="G17" s="2" t="inlineStr">
        <is>
          <t>Erratum</t>
        </is>
      </c>
      <c r="H17" s="2" t="inlineStr">
        <is>
          <t>IEEE Geoscience and Remote Sensing Letters</t>
        </is>
      </c>
      <c r="I17" s="2" t="inlineStr">
        <is>
          <t>22</t>
        </is>
      </c>
      <c r="J17" s="2" t="inlineStr"/>
      <c r="K17" s="2" t="inlineStr">
        <is>
          <t>1-1</t>
        </is>
      </c>
      <c r="L17" s="2" t="inlineStr">
        <is>
          <t>10.1109/LGRS.2025.3580932</t>
        </is>
      </c>
      <c r="M17" s="2" t="inlineStr"/>
      <c r="N17" s="2" t="inlineStr"/>
      <c r="O17" s="2" t="inlineStr">
        <is>
          <t>https://research.utwente.nl/en/publications/erratum-to-a-deep-learning-solution-for-phase-screen-estimation-i/</t>
        </is>
      </c>
      <c r="P17" s="6" t="inlineStr">
        <is>
          <t>probable_scopus</t>
        </is>
      </c>
      <c r="Q17" s="2" t="inlineStr">
        <is>
          <t>Twente record links the parent publication to Scopus; direct Scopus identifier for the erratum was not exposed.</t>
        </is>
      </c>
      <c r="R17" s="2" t="inlineStr">
        <is>
          <t>no</t>
        </is>
      </c>
      <c r="S17" s="2" t="inlineStr">
        <is>
          <t>Pending direct Scopus confirmation.</t>
        </is>
      </c>
    </row>
    <row r="18">
      <c r="A18" s="2" t="inlineStr">
        <is>
          <t>scopus-10-1109-mgrs-2025-3612752</t>
        </is>
      </c>
      <c r="B18" s="2" t="n">
        <v>2025</v>
      </c>
      <c r="C18" s="2" t="inlineStr">
        <is>
          <t>2025-12-17</t>
        </is>
      </c>
      <c r="D18" s="2" t="inlineStr">
        <is>
          <t>IEEE Geoscience and Remote Sensing Society Awards Presented at the IEEE International Geoscience and Remote Sensing Symposium 2025 Awards Reception and Ceremony</t>
        </is>
      </c>
      <c r="E18" s="2" t="inlineStr">
        <is>
          <t>Francesca Bovolo; Jaya Sreevalsan-Nair; Antonio Plaza; Alberto Moreira; Giampaolo Ferraioli; Claudio Persello</t>
        </is>
      </c>
      <c r="F18" s="2" t="inlineStr">
        <is>
          <t>Giampaolo Ferraioli</t>
        </is>
      </c>
      <c r="G18" s="2" t="inlineStr">
        <is>
          <t>Conference Report</t>
        </is>
      </c>
      <c r="H18" s="2" t="inlineStr">
        <is>
          <t>IEEE Geoscience and Remote Sensing Magazine</t>
        </is>
      </c>
      <c r="I18" s="2" t="inlineStr">
        <is>
          <t>13</t>
        </is>
      </c>
      <c r="J18" s="2" t="inlineStr"/>
      <c r="K18" s="2" t="inlineStr">
        <is>
          <t>444-454</t>
        </is>
      </c>
      <c r="L18" s="2" t="inlineStr">
        <is>
          <t>10.1109/MGRS.2025.3612752</t>
        </is>
      </c>
      <c r="M18" s="2" t="inlineStr"/>
      <c r="N18" s="2" t="inlineStr"/>
      <c r="O18" s="2" t="inlineStr">
        <is>
          <t>https://elib.dlr.de/222017/</t>
        </is>
      </c>
      <c r="P18" s="3" t="inlineStr">
        <is>
          <t>verified_scopus</t>
        </is>
      </c>
      <c r="Q18" s="2" t="inlineStr">
        <is>
          <t>DLR publication record explicitly states “In SCOPUS: Ja”.</t>
        </is>
      </c>
      <c r="R18" s="2" t="inlineStr">
        <is>
          <t>yes</t>
        </is>
      </c>
      <c r="S18" s="2" t="inlineStr">
        <is>
          <t>Non-research conference report; retain with document_type so it can be filtered if desired.</t>
        </is>
      </c>
    </row>
    <row r="19">
      <c r="A19" s="2" t="inlineStr">
        <is>
          <t>scopus-10-1109-mgrs-2025-3599367</t>
        </is>
      </c>
      <c r="B19" s="2" t="n">
        <v>2025</v>
      </c>
      <c r="C19" s="2" t="inlineStr">
        <is>
          <t>2025-12</t>
        </is>
      </c>
      <c r="D19" s="2" t="inlineStr">
        <is>
          <t>IGARSS 2025 in Brisbane, Australia: Impressions of the First Days</t>
        </is>
      </c>
      <c r="E19" s="2" t="inlineStr">
        <is>
          <t>Alberto Moreira; Francesca Bovolo; Jaya Sreevalsan-Nair; Giampaolo Ferraioli</t>
        </is>
      </c>
      <c r="F19" s="2" t="inlineStr">
        <is>
          <t>Giampaolo Ferraioli</t>
        </is>
      </c>
      <c r="G19" s="2" t="inlineStr">
        <is>
          <t>Conference Report</t>
        </is>
      </c>
      <c r="H19" s="2" t="inlineStr">
        <is>
          <t>IEEE Geoscience and Remote Sensing Magazine</t>
        </is>
      </c>
      <c r="I19" s="2" t="inlineStr">
        <is>
          <t>13</t>
        </is>
      </c>
      <c r="J19" s="2" t="inlineStr">
        <is>
          <t>4</t>
        </is>
      </c>
      <c r="K19" s="2" t="inlineStr">
        <is>
          <t>430-443</t>
        </is>
      </c>
      <c r="L19" s="2" t="inlineStr">
        <is>
          <t>10.1109/MGRS.2025.3599367</t>
        </is>
      </c>
      <c r="M19" s="2" t="inlineStr"/>
      <c r="N19" s="2" t="inlineStr"/>
      <c r="O19" s="2" t="inlineStr">
        <is>
          <t>https://elib.dlr.de/218787/</t>
        </is>
      </c>
      <c r="P19" s="3" t="inlineStr">
        <is>
          <t>verified_scopus</t>
        </is>
      </c>
      <c r="Q19" s="2" t="inlineStr">
        <is>
          <t>DLR publication record explicitly states “In SCOPUS: Ja”.</t>
        </is>
      </c>
      <c r="R19" s="2" t="inlineStr">
        <is>
          <t>yes</t>
        </is>
      </c>
      <c r="S19" s="2" t="inlineStr">
        <is>
          <t>Non-research conference report; retain with document_type so it can be filtered if desired.</t>
        </is>
      </c>
    </row>
    <row r="20">
      <c r="A20" s="2" t="inlineStr">
        <is>
          <t>scopus-10-3233-pmst250112</t>
        </is>
      </c>
      <c r="B20" s="2" t="n">
        <v>2025</v>
      </c>
      <c r="C20" s="2" t="inlineStr">
        <is>
          <t>2025-08-12</t>
        </is>
      </c>
      <c r="D20" s="2" t="inlineStr">
        <is>
          <t>Incidence of Rank Correlation Algorithm on the Assessment of Bimodal Sea State Conditions Based on Ship Motion Analysis</t>
        </is>
      </c>
      <c r="E20" s="2" t="inlineStr">
        <is>
          <t>Vincenzo Piscopo; Antonio Scamardella</t>
        </is>
      </c>
      <c r="F20" s="2" t="inlineStr">
        <is>
          <t>Vincenzo Piscopo; Antonio Scamardella</t>
        </is>
      </c>
      <c r="G20" s="2" t="inlineStr">
        <is>
          <t>Conference Paper / Book Chapter</t>
        </is>
      </c>
      <c r="H20" s="2" t="inlineStr">
        <is>
          <t>Technology and Science for the Ships of the Future</t>
        </is>
      </c>
      <c r="I20" s="2" t="inlineStr"/>
      <c r="J20" s="2" t="inlineStr"/>
      <c r="K20" s="2" t="inlineStr"/>
      <c r="L20" s="2" t="inlineStr">
        <is>
          <t>10.3233/PMST250112</t>
        </is>
      </c>
      <c r="M20" s="2" t="inlineStr"/>
      <c r="N20" s="2" t="inlineStr"/>
      <c r="O20" s="2" t="inlineStr">
        <is>
          <t>https://journals.sagepub.com/doi/10.3233/PMST250112</t>
        </is>
      </c>
      <c r="P20" s="4" t="inlineStr">
        <is>
          <t>pending_scopus</t>
        </is>
      </c>
      <c r="Q20" s="2" t="inlineStr">
        <is>
          <t>Publisher record confirmed; direct Scopus record/EID not yet retrieved.</t>
        </is>
      </c>
      <c r="R20" s="2" t="inlineStr">
        <is>
          <t>no</t>
        </is>
      </c>
      <c r="S20" s="2" t="inlineStr"/>
    </row>
    <row r="21">
      <c r="A21" s="2" t="inlineStr">
        <is>
          <t>scopus-10-33012-2025-19984</t>
        </is>
      </c>
      <c r="B21" s="2" t="n">
        <v>2025</v>
      </c>
      <c r="C21" s="2" t="inlineStr"/>
      <c r="D21" s="2" t="inlineStr">
        <is>
          <t>The G4 Solar Storm of May 2024: Impact on the GNSS carrier-phase measurements</t>
        </is>
      </c>
      <c r="E21" s="2" t="inlineStr">
        <is>
          <t>Giovanni Cappello; Ciro Gioia; Antonio Angrisano; Gabriele Portelli; Salvatore Gaglione</t>
        </is>
      </c>
      <c r="F21" s="2" t="inlineStr">
        <is>
          <t>Salvatore Gaglione</t>
        </is>
      </c>
      <c r="G21" s="2" t="inlineStr">
        <is>
          <t>Conference Paper</t>
        </is>
      </c>
      <c r="H21" s="2" t="inlineStr">
        <is>
          <t>Proceedings of the International Technical Meeting of The Institute of Navigation, ITM</t>
        </is>
      </c>
      <c r="I21" s="2" t="inlineStr"/>
      <c r="J21" s="2" t="inlineStr"/>
      <c r="K21" s="2" t="inlineStr"/>
      <c r="L21" s="2" t="inlineStr">
        <is>
          <t>10.33012/2025.19984</t>
        </is>
      </c>
      <c r="M21" s="2" t="inlineStr">
        <is>
          <t>2-s2.0-105001675036</t>
        </is>
      </c>
      <c r="N21" s="2" t="inlineStr">
        <is>
          <t>https://www.scopus.com/inward/record.uri?eid=2-s2.0-105001675036&amp;doi=10.33012%2f2025.19984&amp;partnerID=40&amp;md5=739f848160bb42247f9941f85f76ae90</t>
        </is>
      </c>
      <c r="O21" s="2" t="inlineStr">
        <is>
          <t>https://www.scopus.com/inward/record.uri?eid=2-s2.0-105001675036&amp;doi=10.33012%2f2025.19984&amp;partnerID=40&amp;md5=739f848160bb42247f9941f85f76ae90</t>
        </is>
      </c>
      <c r="P21" s="3" t="inlineStr">
        <is>
          <t>verified_scopus</t>
        </is>
      </c>
      <c r="Q21" s="2" t="inlineStr">
        <is>
          <t>Direct Scopus inward URL/EID stored in the legacy Drupal record.</t>
        </is>
      </c>
      <c r="R21" s="2" t="inlineStr">
        <is>
          <t>yes</t>
        </is>
      </c>
      <c r="S21" s="2" t="inlineStr">
        <is>
          <t>Recovered from Drupal 2025; treated as Scopus source for the new master.</t>
        </is>
      </c>
    </row>
    <row r="22">
      <c r="A22" s="2" t="inlineStr">
        <is>
          <t>scopus-10-1109-metroaerospace64938-2025-11114637</t>
        </is>
      </c>
      <c r="B22" s="2" t="n">
        <v>2025</v>
      </c>
      <c r="C22" s="2" t="inlineStr"/>
      <c r="D22" s="2" t="inlineStr">
        <is>
          <t>The Galileo-based UAV velocity: Doppler and Time-Differenced Carrier Phase</t>
        </is>
      </c>
      <c r="E22" s="2" t="inlineStr">
        <is>
          <t>Giovanni Cappello; Ciro Gioia; Andrea Piccolo; Antonio Angrisano; Salvatore Gaglione</t>
        </is>
      </c>
      <c r="F22" s="2" t="inlineStr">
        <is>
          <t>Salvatore Gaglione</t>
        </is>
      </c>
      <c r="G22" s="2" t="inlineStr">
        <is>
          <t>Conference Paper</t>
        </is>
      </c>
      <c r="H22" s="2" t="inlineStr">
        <is>
          <t>2025 IEEE International Workshop on Metrology for AeroSpace, MetroAeroSpace 2025 - Proceedings</t>
        </is>
      </c>
      <c r="I22" s="2" t="inlineStr"/>
      <c r="J22" s="2" t="inlineStr"/>
      <c r="K22" s="2" t="inlineStr"/>
      <c r="L22" s="2" t="inlineStr">
        <is>
          <t>10.1109/MetroAeroSpace64938.2025.11114637</t>
        </is>
      </c>
      <c r="M22" s="2" t="inlineStr">
        <is>
          <t>2-s2.0-105015510478</t>
        </is>
      </c>
      <c r="N22" s="2" t="inlineStr">
        <is>
          <t>https://www.scopus.com/inward/record.uri?eid=2-s2.0-105015510478&amp;doi=10.1109%2fMetroAeroSpace64938.2025.11114637&amp;partnerID=40&amp;md5=7eb302fc7d501619ffc0077b7e307cfc</t>
        </is>
      </c>
      <c r="O22" s="2" t="inlineStr">
        <is>
          <t>https://www.scopus.com/inward/record.uri?eid=2-s2.0-105015510478&amp;doi=10.1109%2fMetroAeroSpace64938.2025.11114637&amp;partnerID=40&amp;md5=7eb302fc7d501619ffc0077b7e307cfc</t>
        </is>
      </c>
      <c r="P22" s="3" t="inlineStr">
        <is>
          <t>verified_scopus</t>
        </is>
      </c>
      <c r="Q22" s="2" t="inlineStr">
        <is>
          <t>Direct Scopus inward URL/EID stored in the legacy Drupal record.</t>
        </is>
      </c>
      <c r="R22" s="2" t="inlineStr">
        <is>
          <t>yes</t>
        </is>
      </c>
      <c r="S22" s="2" t="inlineStr">
        <is>
          <t>Recovered from Drupal 2025; treated as Scopus source for the new master.</t>
        </is>
      </c>
    </row>
    <row r="23">
      <c r="A23" s="2" t="inlineStr">
        <is>
          <t>scopus-10-33012-2025-19974</t>
        </is>
      </c>
      <c r="B23" s="2" t="n">
        <v>2025</v>
      </c>
      <c r="C23" s="2" t="inlineStr"/>
      <c r="D23" s="2" t="inlineStr">
        <is>
          <t>The synthetic meta-signal observations: a multipath resistance assessment</t>
        </is>
      </c>
      <c r="E23" s="2" t="inlineStr">
        <is>
          <t>Giovanni Cappello; Ciro Gioia; Antonio Angrisano; Salvatore Gaglione</t>
        </is>
      </c>
      <c r="F23" s="2" t="inlineStr">
        <is>
          <t>Salvatore Gaglione</t>
        </is>
      </c>
      <c r="G23" s="2" t="inlineStr">
        <is>
          <t>Conference Paper</t>
        </is>
      </c>
      <c r="H23" s="2" t="inlineStr">
        <is>
          <t>Proceedings of the International Technical Meeting of The Institute of Navigation, ITM</t>
        </is>
      </c>
      <c r="I23" s="2" t="inlineStr"/>
      <c r="J23" s="2" t="inlineStr"/>
      <c r="K23" s="2" t="inlineStr"/>
      <c r="L23" s="2" t="inlineStr">
        <is>
          <t>10.33012/2025.19974</t>
        </is>
      </c>
      <c r="M23" s="2" t="inlineStr">
        <is>
          <t>2-s2.0-105001668620</t>
        </is>
      </c>
      <c r="N23" s="2" t="inlineStr">
        <is>
          <t>https://www.scopus.com/inward/record.uri?eid=2-s2.0-105001668620&amp;doi=10.33012%2f2025.19974&amp;partnerID=40&amp;md5=e3784e375792ec1833f2de6d00e0ea7b</t>
        </is>
      </c>
      <c r="O23" s="2" t="inlineStr">
        <is>
          <t>https://www.scopus.com/inward/record.uri?eid=2-s2.0-105001668620&amp;doi=10.33012%2f2025.19974&amp;partnerID=40&amp;md5=e3784e375792ec1833f2de6d00e0ea7b</t>
        </is>
      </c>
      <c r="P23" s="3" t="inlineStr">
        <is>
          <t>verified_scopus</t>
        </is>
      </c>
      <c r="Q23" s="2" t="inlineStr">
        <is>
          <t>Direct Scopus inward URL/EID stored in the legacy Drupal record.</t>
        </is>
      </c>
      <c r="R23" s="2" t="inlineStr">
        <is>
          <t>yes</t>
        </is>
      </c>
      <c r="S23" s="2" t="inlineStr">
        <is>
          <t>Recovered from Drupal 2025; treated as Scopus source for the new master.</t>
        </is>
      </c>
    </row>
    <row r="24">
      <c r="A24" s="2" t="inlineStr">
        <is>
          <t>scopus-10-3390-agriengineering7040120</t>
        </is>
      </c>
      <c r="B24" s="2" t="n">
        <v>2025</v>
      </c>
      <c r="C24" s="2" t="inlineStr">
        <is>
          <t>2025-04</t>
        </is>
      </c>
      <c r="D24" s="2" t="inlineStr">
        <is>
          <t>Tomato Leaf Detection, Segmentation, and Extraction in Real-Time Environment for Accurate Disease Detection</t>
        </is>
      </c>
      <c r="E24" s="2" t="inlineStr">
        <is>
          <t>Shahab Ul Islam; Giampaolo Ferraioli; Vito Pascazio</t>
        </is>
      </c>
      <c r="F24" s="2" t="inlineStr">
        <is>
          <t>Giampaolo Ferraioli</t>
        </is>
      </c>
      <c r="G24" s="2" t="inlineStr">
        <is>
          <t>Journal Article</t>
        </is>
      </c>
      <c r="H24" s="2" t="inlineStr">
        <is>
          <t>AgriEngineering</t>
        </is>
      </c>
      <c r="I24" s="2" t="inlineStr">
        <is>
          <t>7</t>
        </is>
      </c>
      <c r="J24" s="2" t="inlineStr">
        <is>
          <t>4</t>
        </is>
      </c>
      <c r="K24" s="2" t="inlineStr">
        <is>
          <t>120</t>
        </is>
      </c>
      <c r="L24" s="2" t="inlineStr">
        <is>
          <t>10.3390/agriengineering7040120</t>
        </is>
      </c>
      <c r="M24" s="2" t="inlineStr"/>
      <c r="N24" s="2" t="inlineStr"/>
      <c r="O24" s="2" t="inlineStr">
        <is>
          <t>https://ouci.dntb.gov.ua/en/works/l111xP2y/</t>
        </is>
      </c>
      <c r="P24" s="3" t="inlineStr">
        <is>
          <t>verified_scopus</t>
        </is>
      </c>
      <c r="Q24" s="2" t="inlineStr">
        <is>
          <t>OUCI record explicitly marks the article as indexed in Scopus.</t>
        </is>
      </c>
      <c r="R24" s="2" t="inlineStr">
        <is>
          <t>yes</t>
        </is>
      </c>
      <c r="S24" s="2" t="inlineStr"/>
    </row>
    <row r="25">
      <c r="A25" s="2" t="inlineStr">
        <is>
          <t>scopus-10-3390-engproc2025088014</t>
        </is>
      </c>
      <c r="B25" s="2" t="n">
        <v>2025</v>
      </c>
      <c r="C25" s="2" t="inlineStr"/>
      <c r="D25" s="2" t="inlineStr">
        <is>
          <t>Toward Context-Aware GNSS Positioning: A Preliminary Analysis</t>
        </is>
      </c>
      <c r="E25" s="2" t="inlineStr">
        <is>
          <t>Giovanni Cappello; Antonio Maratea; Ciro Gioia; Antonio Angrisano; Silvio Del Pizzo; Salvatore Gaglione</t>
        </is>
      </c>
      <c r="F25" s="2" t="inlineStr">
        <is>
          <t>Silvio Del Pizzo; Salvatore Gaglione</t>
        </is>
      </c>
      <c r="G25" s="2" t="inlineStr">
        <is>
          <t>Journal Article</t>
        </is>
      </c>
      <c r="H25" s="2" t="inlineStr">
        <is>
          <t>Engineering Proceedings</t>
        </is>
      </c>
      <c r="I25" s="2" t="inlineStr">
        <is>
          <t>88</t>
        </is>
      </c>
      <c r="J25" s="2" t="inlineStr"/>
      <c r="K25" s="2" t="inlineStr"/>
      <c r="L25" s="2" t="inlineStr">
        <is>
          <t>10.3390/engproc2025088014</t>
        </is>
      </c>
      <c r="M25" s="2" t="inlineStr">
        <is>
          <t>2-s2.0-105023666393</t>
        </is>
      </c>
      <c r="N25" s="2" t="inlineStr">
        <is>
          <t>https://www.scopus.com/inward/record.uri?eid=2-s2.0-105023666393&amp;doi=10.3390%2fengproc2025088014&amp;partnerID=40&amp;md5=062a75da7c74085f6b1f50a1bc441882</t>
        </is>
      </c>
      <c r="O25" s="2" t="inlineStr">
        <is>
          <t>https://www.scopus.com/inward/record.uri?eid=2-s2.0-105023666393&amp;doi=10.3390%2fengproc2025088014&amp;partnerID=40&amp;md5=062a75da7c74085f6b1f50a1bc441882</t>
        </is>
      </c>
      <c r="P25" s="3" t="inlineStr">
        <is>
          <t>verified_scopus</t>
        </is>
      </c>
      <c r="Q25" s="2" t="inlineStr">
        <is>
          <t>Direct Scopus inward URL/EID stored in the legacy Drupal record.</t>
        </is>
      </c>
      <c r="R25" s="2" t="inlineStr">
        <is>
          <t>yes</t>
        </is>
      </c>
      <c r="S25" s="2" t="inlineStr">
        <is>
          <t>Recovered from Drupal 2025; treated as Scopus source for the new master.</t>
        </is>
      </c>
    </row>
    <row r="26">
      <c r="A26" s="2" t="inlineStr">
        <is>
          <t>scopus-10-5194-isprs-archives-xlviii-2-w10-2025-207-2025</t>
        </is>
      </c>
      <c r="B26" s="2" t="n">
        <v>2025</v>
      </c>
      <c r="C26" s="2" t="inlineStr">
        <is>
          <t>2025-07-07</t>
        </is>
      </c>
      <c r="D26" s="2" t="inlineStr">
        <is>
          <t>Underwater optical metrology for precision monitoring of marine habitats: the MANATEE project</t>
        </is>
      </c>
      <c r="E26" s="2" t="inlineStr">
        <is>
          <t>Erica Nocerino; Fabio Menna; Alessio Calantropio; Federico Pinna; Silvio Del Pizzo; Simone Farina; Alessia Giaquinto; Alessandro Lambertini; Massimiliano Menghini; Shahriar Mokhtari; Federica Ragazzola; Salvatore Troisi; Luca Vittuari</t>
        </is>
      </c>
      <c r="F26" s="2" t="inlineStr">
        <is>
          <t>Silvio Del Pizzo; Salvatore Troisi</t>
        </is>
      </c>
      <c r="G26" s="2" t="inlineStr">
        <is>
          <t>Conference Paper</t>
        </is>
      </c>
      <c r="H26" s="2" t="inlineStr">
        <is>
          <t>The International Archives of the Photogrammetry, Remote Sensing and Spatial Information Sciences</t>
        </is>
      </c>
      <c r="I26" s="2" t="inlineStr">
        <is>
          <t>XLVIII-2/W10-2025</t>
        </is>
      </c>
      <c r="J26" s="2" t="inlineStr"/>
      <c r="K26" s="2" t="inlineStr">
        <is>
          <t>207-214</t>
        </is>
      </c>
      <c r="L26" s="2" t="inlineStr">
        <is>
          <t>10.5194/isprs-archives-XLVIII-2-W10-2025-207-2025</t>
        </is>
      </c>
      <c r="M26" s="2" t="inlineStr"/>
      <c r="N26" s="2" t="inlineStr"/>
      <c r="O26" s="2" t="inlineStr">
        <is>
          <t>https://isprs-archives.copernicus.org/articles/XLVIII-2-W10-2025/207/2025/index.html</t>
        </is>
      </c>
      <c r="P26" s="4" t="inlineStr">
        <is>
          <t>pending_scopus</t>
        </is>
      </c>
      <c r="Q26" s="2" t="inlineStr">
        <is>
          <t>Bibliographic record confirmed by publisher; direct Scopus record/EID not yet retrieved.</t>
        </is>
      </c>
      <c r="R26" s="2" t="inlineStr">
        <is>
          <t>no</t>
        </is>
      </c>
      <c r="S26" s="2" t="inlineStr"/>
    </row>
    <row r="27">
      <c r="A27" s="2" t="inlineStr">
        <is>
          <t>scopus-10-5194-isprs-archives-xlviii-2-w10-2025-47-2025</t>
        </is>
      </c>
      <c r="B27" s="2" t="n">
        <v>2025</v>
      </c>
      <c r="C27" s="2" t="inlineStr">
        <is>
          <t>2025-07-07</t>
        </is>
      </c>
      <c r="D27" s="2" t="inlineStr">
        <is>
          <t>Underwater synthetic image generation for multi-temporal monitoring of crustose coralline algae</t>
        </is>
      </c>
      <c r="E27" s="2" t="inlineStr">
        <is>
          <t>Alessio Calantropio; Alessia Giaquinto; Silvio Del Pizzo; Fabio Menna; Erica Nocerino</t>
        </is>
      </c>
      <c r="F27" s="2" t="inlineStr">
        <is>
          <t>Silvio Del Pizzo</t>
        </is>
      </c>
      <c r="G27" s="2" t="inlineStr">
        <is>
          <t>Conference Paper</t>
        </is>
      </c>
      <c r="H27" s="2" t="inlineStr">
        <is>
          <t>The International Archives of the Photogrammetry, Remote Sensing and Spatial Information Sciences</t>
        </is>
      </c>
      <c r="I27" s="2" t="inlineStr">
        <is>
          <t>XLVIII-2/W10-2025</t>
        </is>
      </c>
      <c r="J27" s="2" t="inlineStr"/>
      <c r="K27" s="2" t="inlineStr">
        <is>
          <t>47-54</t>
        </is>
      </c>
      <c r="L27" s="2" t="inlineStr">
        <is>
          <t>10.5194/isprs-archives-XLVIII-2-W10-2025-47-2025</t>
        </is>
      </c>
      <c r="M27" s="2" t="inlineStr"/>
      <c r="N27" s="2" t="inlineStr"/>
      <c r="O27" s="2" t="inlineStr">
        <is>
          <t>https://isprs-archives.copernicus.org/articles/XLVIII-2-W10-2025/47/2025/isprs-archives-XLVIII-2-W10-2025-47-2025.html</t>
        </is>
      </c>
      <c r="P27" s="4" t="inlineStr">
        <is>
          <t>pending_scopus</t>
        </is>
      </c>
      <c r="Q27" s="2" t="inlineStr">
        <is>
          <t>Bibliographic record confirmed by publisher; direct Scopus record/EID not yet retrieved.</t>
        </is>
      </c>
      <c r="R27" s="2" t="inlineStr">
        <is>
          <t>no</t>
        </is>
      </c>
      <c r="S27" s="2" t="inlineStr"/>
    </row>
  </sheetData>
  <autoFilter ref="A1:S2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8"/>
  <sheetViews>
    <sheetView showGridLines="0" workbookViewId="0">
      <pane ySplit="1" topLeftCell="A2" activePane="bottomLeft" state="frozen"/>
      <selection pane="bottomLeft" activeCell="A1" sqref="A1"/>
    </sheetView>
  </sheetViews>
  <sheetFormatPr baseColWidth="8" defaultRowHeight="15"/>
  <cols>
    <col width="21" customWidth="1" min="1" max="1"/>
    <col width="42" customWidth="1" min="2" max="2"/>
    <col width="42" customWidth="1" min="3" max="3"/>
    <col width="18" customWidth="1" min="4" max="4"/>
  </cols>
  <sheetData>
    <row r="1">
      <c r="A1" s="1" t="inlineStr">
        <is>
          <t>Faculty</t>
        </is>
      </c>
      <c r="B1" s="1" t="inlineStr">
        <is>
          <t>Verified/Included</t>
        </is>
      </c>
      <c r="C1" s="1" t="inlineStr">
        <is>
          <t>Pending/Probable</t>
        </is>
      </c>
      <c r="D1" s="1" t="inlineStr">
        <is>
          <t>Total candidates</t>
        </is>
      </c>
    </row>
    <row r="2">
      <c r="A2" s="2" t="inlineStr">
        <is>
          <t>Salvatore Gaglione</t>
        </is>
      </c>
      <c r="B2" s="2">
        <f>COUNTIFS('Scopus review'!$F:$F,"*"&amp;A2&amp;"*",'Scopus review'!$R:$R,"yes")</f>
        <v/>
      </c>
      <c r="C2" s="2">
        <f>COUNTIFS('Scopus review'!$F:$F,"*"&amp;A2&amp;"*",'Scopus review'!$R:$R,"no")</f>
        <v/>
      </c>
      <c r="D2" s="2">
        <f>B2+C2</f>
        <v/>
      </c>
    </row>
    <row r="3">
      <c r="A3" s="2" t="inlineStr">
        <is>
          <t>Salvatore Troisi</t>
        </is>
      </c>
      <c r="B3" s="2">
        <f>COUNTIFS('Scopus review'!$F:$F,"*"&amp;A3&amp;"*",'Scopus review'!$R:$R,"yes")</f>
        <v/>
      </c>
      <c r="C3" s="2">
        <f>COUNTIFS('Scopus review'!$F:$F,"*"&amp;A3&amp;"*",'Scopus review'!$R:$R,"no")</f>
        <v/>
      </c>
      <c r="D3" s="2">
        <f>B3+C3</f>
        <v/>
      </c>
    </row>
    <row r="4">
      <c r="A4" s="2" t="inlineStr">
        <is>
          <t>Silvio Del Pizzo</t>
        </is>
      </c>
      <c r="B4" s="2">
        <f>COUNTIFS('Scopus review'!$F:$F,"*"&amp;A4&amp;"*",'Scopus review'!$R:$R,"yes")</f>
        <v/>
      </c>
      <c r="C4" s="2">
        <f>COUNTIFS('Scopus review'!$F:$F,"*"&amp;A4&amp;"*",'Scopus review'!$R:$R,"no")</f>
        <v/>
      </c>
      <c r="D4" s="2">
        <f>B4+C4</f>
        <v/>
      </c>
    </row>
    <row r="5">
      <c r="A5" s="2" t="inlineStr">
        <is>
          <t>Giampaolo Ferraioli</t>
        </is>
      </c>
      <c r="B5" s="2">
        <f>COUNTIFS('Scopus review'!$F:$F,"*"&amp;A5&amp;"*",'Scopus review'!$R:$R,"yes")</f>
        <v/>
      </c>
      <c r="C5" s="2">
        <f>COUNTIFS('Scopus review'!$F:$F,"*"&amp;A5&amp;"*",'Scopus review'!$R:$R,"no")</f>
        <v/>
      </c>
      <c r="D5" s="2">
        <f>B5+C5</f>
        <v/>
      </c>
    </row>
    <row r="6">
      <c r="A6" s="2" t="inlineStr">
        <is>
          <t>Vincenzo Piscopo</t>
        </is>
      </c>
      <c r="B6" s="2">
        <f>COUNTIFS('Scopus review'!$F:$F,"*"&amp;A6&amp;"*",'Scopus review'!$R:$R,"yes")</f>
        <v/>
      </c>
      <c r="C6" s="2">
        <f>COUNTIFS('Scopus review'!$F:$F,"*"&amp;A6&amp;"*",'Scopus review'!$R:$R,"no")</f>
        <v/>
      </c>
      <c r="D6" s="2">
        <f>B6+C6</f>
        <v/>
      </c>
    </row>
    <row r="7">
      <c r="A7" s="2" t="inlineStr">
        <is>
          <t>Antonio Scamardella</t>
        </is>
      </c>
      <c r="B7" s="2">
        <f>COUNTIFS('Scopus review'!$F:$F,"*"&amp;A7&amp;"*",'Scopus review'!$R:$R,"yes")</f>
        <v/>
      </c>
      <c r="C7" s="2">
        <f>COUNTIFS('Scopus review'!$F:$F,"*"&amp;A7&amp;"*",'Scopus review'!$R:$R,"no")</f>
        <v/>
      </c>
      <c r="D7" s="2">
        <f>B7+C7</f>
        <v/>
      </c>
    </row>
    <row r="8">
      <c r="A8" s="2" t="inlineStr">
        <is>
          <t>Silvia Pennino</t>
        </is>
      </c>
      <c r="B8" s="2">
        <f>COUNTIFS('Scopus review'!$F:$F,"*"&amp;A8&amp;"*",'Scopus review'!$R:$R,"yes")</f>
        <v/>
      </c>
      <c r="C8" s="2">
        <f>COUNTIFS('Scopus review'!$F:$F,"*"&amp;A8&amp;"*",'Scopus review'!$R:$R,"no")</f>
        <v/>
      </c>
      <c r="D8" s="2">
        <f>B8+C8</f>
        <v/>
      </c>
    </row>
  </sheetData>
  <autoFilter ref="A1:D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2026-08-17T08:57:03Z</dcterms:created>
  <dcterms:modified xmlns:dcterms="http://purl.org/dc/terms/" xmlns:xsi="http://www.w3.org/2001/XMLSchema-instance" xsi:type="dcterms:W3CDTF">2026-08-17T08:57:03Z</dcterms:modified>
</cp:coreProperties>
</file>